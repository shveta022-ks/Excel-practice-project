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shwet\Excel\"/>
    </mc:Choice>
  </mc:AlternateContent>
  <xr:revisionPtr revIDLastSave="0" documentId="8_{A06B9FA4-B4A6-4111-B1E1-106A56DA1F06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Employees" sheetId="1" r:id="rId1"/>
    <sheet name="Product_catalog" sheetId="3" r:id="rId2"/>
    <sheet name="Sales transactions" sheetId="2" r:id="rId3"/>
  </sheets>
  <calcPr calcId="191029"/>
</workbook>
</file>

<file path=xl/calcChain.xml><?xml version="1.0" encoding="utf-8"?>
<calcChain xmlns="http://schemas.openxmlformats.org/spreadsheetml/2006/main">
  <c r="A15" i="3" l="1"/>
  <c r="A1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L35" i="1"/>
  <c r="L34" i="1"/>
  <c r="L33" i="1"/>
  <c r="L28" i="1" l="1"/>
  <c r="L27" i="1"/>
  <c r="L26" i="1"/>
  <c r="L21" i="1"/>
  <c r="L20" i="1"/>
  <c r="L19" i="1" l="1"/>
  <c r="L18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<sst xmlns="http://schemas.openxmlformats.org/spreadsheetml/2006/main" count="1372" uniqueCount="695">
  <si>
    <t>Employee_ID</t>
  </si>
  <si>
    <t>Employee_Name</t>
  </si>
  <si>
    <t>Department</t>
  </si>
  <si>
    <t>Job_Title</t>
  </si>
  <si>
    <t>Salary</t>
  </si>
  <si>
    <t>Hire_Date</t>
  </si>
  <si>
    <t>Office_Location</t>
  </si>
  <si>
    <t>Email</t>
  </si>
  <si>
    <t>Phone</t>
  </si>
  <si>
    <t>EMP1001</t>
  </si>
  <si>
    <t>Sarah Smith</t>
  </si>
  <si>
    <t>Operations</t>
  </si>
  <si>
    <t>Specialist</t>
  </si>
  <si>
    <t>2017-07-03</t>
  </si>
  <si>
    <t>Chicago</t>
  </si>
  <si>
    <t>employee1@company.com</t>
  </si>
  <si>
    <t>555-854-2679</t>
  </si>
  <si>
    <t>EMP1002</t>
  </si>
  <si>
    <t>William Johnson</t>
  </si>
  <si>
    <t>Finance</t>
  </si>
  <si>
    <t>Coordinator</t>
  </si>
  <si>
    <t>2015-05-03</t>
  </si>
  <si>
    <t>New York</t>
  </si>
  <si>
    <t>employee2@company.com</t>
  </si>
  <si>
    <t>555-323-4811</t>
  </si>
  <si>
    <t>EMP1003</t>
  </si>
  <si>
    <t>William Smith</t>
  </si>
  <si>
    <t>Manager</t>
  </si>
  <si>
    <t>2019-09-15</t>
  </si>
  <si>
    <t>employee3@company.com</t>
  </si>
  <si>
    <t>555-559-5557</t>
  </si>
  <si>
    <t>EMP1004</t>
  </si>
  <si>
    <t>John Williams</t>
  </si>
  <si>
    <t>2018-02-12</t>
  </si>
  <si>
    <t>employee4@company.com</t>
  </si>
  <si>
    <t>555-320-6514</t>
  </si>
  <si>
    <t>EMP1005</t>
  </si>
  <si>
    <t>Sarah Johnson</t>
  </si>
  <si>
    <t>HR</t>
  </si>
  <si>
    <t>Analyst</t>
  </si>
  <si>
    <t>2018-11-09</t>
  </si>
  <si>
    <t>Seattle</t>
  </si>
  <si>
    <t>employee5@company.com</t>
  </si>
  <si>
    <t>555-370-1711</t>
  </si>
  <si>
    <t>EMP1006</t>
  </si>
  <si>
    <t>Jennifer Johnson</t>
  </si>
  <si>
    <t>2018-04-15</t>
  </si>
  <si>
    <t>employee6@company.com</t>
  </si>
  <si>
    <t>555-982-6925</t>
  </si>
  <si>
    <t>EMP1007</t>
  </si>
  <si>
    <t>Jessica Brown</t>
  </si>
  <si>
    <t>2022-06-01</t>
  </si>
  <si>
    <t>employee7@company.com</t>
  </si>
  <si>
    <t>555-891-5741</t>
  </si>
  <si>
    <t>EMP1008</t>
  </si>
  <si>
    <t>Sarah Brown</t>
  </si>
  <si>
    <t>Sales</t>
  </si>
  <si>
    <t>2020-02-01</t>
  </si>
  <si>
    <t>San Francisco</t>
  </si>
  <si>
    <t>employee8@company.com</t>
  </si>
  <si>
    <t>555-266-7065</t>
  </si>
  <si>
    <t>EMP1009</t>
  </si>
  <si>
    <t>Lisa Brown</t>
  </si>
  <si>
    <t>2021-10-31</t>
  </si>
  <si>
    <t>employee9@company.com</t>
  </si>
  <si>
    <t>555-646-5010</t>
  </si>
  <si>
    <t>EMP1010</t>
  </si>
  <si>
    <t>Michael Davis</t>
  </si>
  <si>
    <t>2017-06-18</t>
  </si>
  <si>
    <t>employee10@company.com</t>
  </si>
  <si>
    <t>555-963-1916</t>
  </si>
  <si>
    <t>EMP1011</t>
  </si>
  <si>
    <t>Emily Smith</t>
  </si>
  <si>
    <t>IT</t>
  </si>
  <si>
    <t>2015-09-29</t>
  </si>
  <si>
    <t>employee11@company.com</t>
  </si>
  <si>
    <t>555-680-6155</t>
  </si>
  <si>
    <t>EMP1012</t>
  </si>
  <si>
    <t>Emily Davis</t>
  </si>
  <si>
    <t>2017-12-20</t>
  </si>
  <si>
    <t>employee12@company.com</t>
  </si>
  <si>
    <t>555-352-9830</t>
  </si>
  <si>
    <t>EMP1013</t>
  </si>
  <si>
    <t>David Miller</t>
  </si>
  <si>
    <t>2017-06-17</t>
  </si>
  <si>
    <t>employee13@company.com</t>
  </si>
  <si>
    <t>555-621-9085</t>
  </si>
  <si>
    <t>EMP1014</t>
  </si>
  <si>
    <t>2022-08-19</t>
  </si>
  <si>
    <t>Boston</t>
  </si>
  <si>
    <t>employee14@company.com</t>
  </si>
  <si>
    <t>555-710-2040</t>
  </si>
  <si>
    <t>EMP1015</t>
  </si>
  <si>
    <t>Robert Miller</t>
  </si>
  <si>
    <t>2017-10-26</t>
  </si>
  <si>
    <t>employee15@company.com</t>
  </si>
  <si>
    <t>555-981-1188</t>
  </si>
  <si>
    <t>EMP1016</t>
  </si>
  <si>
    <t>Sarah Jones</t>
  </si>
  <si>
    <t>2018-04-17</t>
  </si>
  <si>
    <t>employee16@company.com</t>
  </si>
  <si>
    <t>555-261-8433</t>
  </si>
  <si>
    <t>EMP1017</t>
  </si>
  <si>
    <t>John Jones</t>
  </si>
  <si>
    <t>2016-03-11</t>
  </si>
  <si>
    <t>employee17@company.com</t>
  </si>
  <si>
    <t>555-961-9317</t>
  </si>
  <si>
    <t>EMP1018</t>
  </si>
  <si>
    <t>Marketing</t>
  </si>
  <si>
    <t>2021-01-18</t>
  </si>
  <si>
    <t>employee18@company.com</t>
  </si>
  <si>
    <t>555-100-6310</t>
  </si>
  <si>
    <t>EMP1019</t>
  </si>
  <si>
    <t>Jennifer Smith</t>
  </si>
  <si>
    <t>2017-09-07</t>
  </si>
  <si>
    <t>employee19@company.com</t>
  </si>
  <si>
    <t>555-346-2290</t>
  </si>
  <si>
    <t>EMP1020</t>
  </si>
  <si>
    <t>Sarah Davis</t>
  </si>
  <si>
    <t>Director</t>
  </si>
  <si>
    <t>2016-06-09</t>
  </si>
  <si>
    <t>employee20@company.com</t>
  </si>
  <si>
    <t>555-662-3705</t>
  </si>
  <si>
    <t>EMP1021</t>
  </si>
  <si>
    <t>2022-12-30</t>
  </si>
  <si>
    <t>employee21@company.com</t>
  </si>
  <si>
    <t>555-508-7118</t>
  </si>
  <si>
    <t>EMP1022</t>
  </si>
  <si>
    <t>Jennifer Davis</t>
  </si>
  <si>
    <t>2015-09-20</t>
  </si>
  <si>
    <t>employee22@company.com</t>
  </si>
  <si>
    <t>555-121-4770</t>
  </si>
  <si>
    <t>EMP1023</t>
  </si>
  <si>
    <t>2017-07-26</t>
  </si>
  <si>
    <t>employee23@company.com</t>
  </si>
  <si>
    <t>555-132-6413</t>
  </si>
  <si>
    <t>EMP1024</t>
  </si>
  <si>
    <t>2021-01-17</t>
  </si>
  <si>
    <t>employee24@company.com</t>
  </si>
  <si>
    <t>555-840-8744</t>
  </si>
  <si>
    <t>EMP1025</t>
  </si>
  <si>
    <t>2016-02-02</t>
  </si>
  <si>
    <t>employee25@company.com</t>
  </si>
  <si>
    <t>555-462-7939</t>
  </si>
  <si>
    <t>EMP1026</t>
  </si>
  <si>
    <t>Robert Davis</t>
  </si>
  <si>
    <t>2015-09-06</t>
  </si>
  <si>
    <t>employee26@company.com</t>
  </si>
  <si>
    <t>555-845-6559</t>
  </si>
  <si>
    <t>EMP1027</t>
  </si>
  <si>
    <t>2020-01-12</t>
  </si>
  <si>
    <t>employee27@company.com</t>
  </si>
  <si>
    <t>555-532-4006</t>
  </si>
  <si>
    <t>EMP1028</t>
  </si>
  <si>
    <t>David Davis</t>
  </si>
  <si>
    <t>2021-03-04</t>
  </si>
  <si>
    <t>employee28@company.com</t>
  </si>
  <si>
    <t>555-151-9856</t>
  </si>
  <si>
    <t>EMP1029</t>
  </si>
  <si>
    <t>John Johnson</t>
  </si>
  <si>
    <t>2020-06-12</t>
  </si>
  <si>
    <t>employee29@company.com</t>
  </si>
  <si>
    <t>555-318-7570</t>
  </si>
  <si>
    <t>EMP1030</t>
  </si>
  <si>
    <t>2017-12-22</t>
  </si>
  <si>
    <t>employee30@company.com</t>
  </si>
  <si>
    <t>555-392-7930</t>
  </si>
  <si>
    <t>EMP1031</t>
  </si>
  <si>
    <t>William Davis</t>
  </si>
  <si>
    <t>2017-06-10</t>
  </si>
  <si>
    <t>employee31@company.com</t>
  </si>
  <si>
    <t>555-693-9883</t>
  </si>
  <si>
    <t>EMP1032</t>
  </si>
  <si>
    <t>John Garcia</t>
  </si>
  <si>
    <t>2020-05-06</t>
  </si>
  <si>
    <t>employee32@company.com</t>
  </si>
  <si>
    <t>555-973-9701</t>
  </si>
  <si>
    <t>EMP1033</t>
  </si>
  <si>
    <t>Michael Smith</t>
  </si>
  <si>
    <t>2015-10-08</t>
  </si>
  <si>
    <t>employee33@company.com</t>
  </si>
  <si>
    <t>555-169-4853</t>
  </si>
  <si>
    <t>EMP1034</t>
  </si>
  <si>
    <t>Robert Johnson</t>
  </si>
  <si>
    <t>2021-09-01</t>
  </si>
  <si>
    <t>employee34@company.com</t>
  </si>
  <si>
    <t>555-734-2343</t>
  </si>
  <si>
    <t>EMP1035</t>
  </si>
  <si>
    <t>Robert Garcia</t>
  </si>
  <si>
    <t>2017-09-04</t>
  </si>
  <si>
    <t>employee35@company.com</t>
  </si>
  <si>
    <t>555-505-3144</t>
  </si>
  <si>
    <t>EMP1036</t>
  </si>
  <si>
    <t>2020-02-21</t>
  </si>
  <si>
    <t>employee36@company.com</t>
  </si>
  <si>
    <t>555-676-2638</t>
  </si>
  <si>
    <t>EMP1037</t>
  </si>
  <si>
    <t>2018-11-30</t>
  </si>
  <si>
    <t>employee37@company.com</t>
  </si>
  <si>
    <t>555-350-7054</t>
  </si>
  <si>
    <t>EMP1038</t>
  </si>
  <si>
    <t>David Williams</t>
  </si>
  <si>
    <t>2021-11-10</t>
  </si>
  <si>
    <t>employee38@company.com</t>
  </si>
  <si>
    <t>555-108-5905</t>
  </si>
  <si>
    <t>EMP1039</t>
  </si>
  <si>
    <t>Sarah Williams</t>
  </si>
  <si>
    <t>2021-03-16</t>
  </si>
  <si>
    <t>employee39@company.com</t>
  </si>
  <si>
    <t>555-378-5616</t>
  </si>
  <si>
    <t>EMP1040</t>
  </si>
  <si>
    <t>2022-09-16</t>
  </si>
  <si>
    <t>employee40@company.com</t>
  </si>
  <si>
    <t>555-617-9004</t>
  </si>
  <si>
    <t>EMP1041</t>
  </si>
  <si>
    <t>David Smith</t>
  </si>
  <si>
    <t>2015-06-30</t>
  </si>
  <si>
    <t>employee41@company.com</t>
  </si>
  <si>
    <t>555-441-3143</t>
  </si>
  <si>
    <t>EMP1042</t>
  </si>
  <si>
    <t>2022-11-30</t>
  </si>
  <si>
    <t>employee42@company.com</t>
  </si>
  <si>
    <t>555-674-1158</t>
  </si>
  <si>
    <t>EMP1043</t>
  </si>
  <si>
    <t>2015-05-28</t>
  </si>
  <si>
    <t>employee43@company.com</t>
  </si>
  <si>
    <t>555-696-3426</t>
  </si>
  <si>
    <t>EMP1044</t>
  </si>
  <si>
    <t>Robert Williams</t>
  </si>
  <si>
    <t>2015-06-13</t>
  </si>
  <si>
    <t>employee44@company.com</t>
  </si>
  <si>
    <t>555-315-5088</t>
  </si>
  <si>
    <t>EMP1045</t>
  </si>
  <si>
    <t>Sarah Garcia</t>
  </si>
  <si>
    <t>2017-08-27</t>
  </si>
  <si>
    <t>employee45@company.com</t>
  </si>
  <si>
    <t>555-919-3900</t>
  </si>
  <si>
    <t>EMP1046</t>
  </si>
  <si>
    <t>Robert Smith</t>
  </si>
  <si>
    <t>2022-07-06</t>
  </si>
  <si>
    <t>employee46@company.com</t>
  </si>
  <si>
    <t>555-373-3608</t>
  </si>
  <si>
    <t>EMP1047</t>
  </si>
  <si>
    <t>Sarah Miller</t>
  </si>
  <si>
    <t>2017-03-28</t>
  </si>
  <si>
    <t>employee47@company.com</t>
  </si>
  <si>
    <t>555-458-6000</t>
  </si>
  <si>
    <t>EMP1048</t>
  </si>
  <si>
    <t>Emily Brown</t>
  </si>
  <si>
    <t>2018-09-06</t>
  </si>
  <si>
    <t>employee48@company.com</t>
  </si>
  <si>
    <t>555-985-2137</t>
  </si>
  <si>
    <t>EMP1049</t>
  </si>
  <si>
    <t>David Garcia</t>
  </si>
  <si>
    <t>2022-08-15</t>
  </si>
  <si>
    <t>employee49@company.com</t>
  </si>
  <si>
    <t>555-439-1452</t>
  </si>
  <si>
    <t>EMP1050</t>
  </si>
  <si>
    <t>2015-06-06</t>
  </si>
  <si>
    <t>employee50@company.com</t>
  </si>
  <si>
    <t>555-710-8119</t>
  </si>
  <si>
    <t>Example</t>
  </si>
  <si>
    <t>values</t>
  </si>
  <si>
    <t>value</t>
  </si>
  <si>
    <t>1. Total PayRole cost</t>
  </si>
  <si>
    <t>2.Average pay</t>
  </si>
  <si>
    <t>3.Number of employees</t>
  </si>
  <si>
    <t>4.Top earner</t>
  </si>
  <si>
    <t>5.Minimum salary</t>
  </si>
  <si>
    <t>6. No. of Operations employees</t>
  </si>
  <si>
    <t>7. No. of Sales employess</t>
  </si>
  <si>
    <t>8. No. of HR employees</t>
  </si>
  <si>
    <t>9. No. of Finance employess</t>
  </si>
  <si>
    <t>10. No. of Marketing employess</t>
  </si>
  <si>
    <t>11. No. of IT employess</t>
  </si>
  <si>
    <t>Basic Formula pactice</t>
  </si>
  <si>
    <t>Text Functions Practice</t>
  </si>
  <si>
    <t>Extract first name</t>
  </si>
  <si>
    <t>Extract last name</t>
  </si>
  <si>
    <t>get domain from email</t>
  </si>
  <si>
    <t>clean extra spaces</t>
  </si>
  <si>
    <t>Date Functions Practice</t>
  </si>
  <si>
    <t xml:space="preserve">Calculate years expeience </t>
  </si>
  <si>
    <t>find hire month</t>
  </si>
  <si>
    <t>find employees hired after 2020</t>
  </si>
  <si>
    <t>Lookup &amp; Reference Functions</t>
  </si>
  <si>
    <t>Lookup salary by employee name</t>
  </si>
  <si>
    <t>Use INDEX-MATCH combo</t>
  </si>
  <si>
    <t>Find department from employee ID</t>
  </si>
  <si>
    <t>Transaction_ID</t>
  </si>
  <si>
    <t>Transaction_Date</t>
  </si>
  <si>
    <t>Product_Code</t>
  </si>
  <si>
    <t>Quantity</t>
  </si>
  <si>
    <t>Unit_Price</t>
  </si>
  <si>
    <t>TXN5001</t>
  </si>
  <si>
    <t>2024-06-25</t>
  </si>
  <si>
    <t>P110</t>
  </si>
  <si>
    <t>TXN5002</t>
  </si>
  <si>
    <t>2024-09-18</t>
  </si>
  <si>
    <t>P112</t>
  </si>
  <si>
    <t>TXN5003</t>
  </si>
  <si>
    <t>2024-05-10</t>
  </si>
  <si>
    <t>P113</t>
  </si>
  <si>
    <t>TXN5004</t>
  </si>
  <si>
    <t>2024-10-02</t>
  </si>
  <si>
    <t>P106</t>
  </si>
  <si>
    <t>TXN5005</t>
  </si>
  <si>
    <t>2024-02-05</t>
  </si>
  <si>
    <t>TXN5006</t>
  </si>
  <si>
    <t>2024-03-04</t>
  </si>
  <si>
    <t>P109</t>
  </si>
  <si>
    <t>TXN5007</t>
  </si>
  <si>
    <t>2024-07-28</t>
  </si>
  <si>
    <t>TXN5008</t>
  </si>
  <si>
    <t>2024-03-06</t>
  </si>
  <si>
    <t>TXN5009</t>
  </si>
  <si>
    <t>2024-03-30</t>
  </si>
  <si>
    <t>P118</t>
  </si>
  <si>
    <t>TXN5010</t>
  </si>
  <si>
    <t>2024-10-07</t>
  </si>
  <si>
    <t>TXN5011</t>
  </si>
  <si>
    <t>2024-08-08</t>
  </si>
  <si>
    <t>P119</t>
  </si>
  <si>
    <t>TXN5012</t>
  </si>
  <si>
    <t>2024-08-14</t>
  </si>
  <si>
    <t>TXN5013</t>
  </si>
  <si>
    <t>2024-03-27</t>
  </si>
  <si>
    <t>P102</t>
  </si>
  <si>
    <t>TXN5014</t>
  </si>
  <si>
    <t>2024-06-20</t>
  </si>
  <si>
    <t>P107</t>
  </si>
  <si>
    <t>TXN5015</t>
  </si>
  <si>
    <t>2024-04-11</t>
  </si>
  <si>
    <t>P100</t>
  </si>
  <si>
    <t>TXN5016</t>
  </si>
  <si>
    <t>2024-08-31</t>
  </si>
  <si>
    <t>TXN5017</t>
  </si>
  <si>
    <t>2024-10-21</t>
  </si>
  <si>
    <t>TXN5018</t>
  </si>
  <si>
    <t>2024-05-04</t>
  </si>
  <si>
    <t>P120</t>
  </si>
  <si>
    <t>TXN5019</t>
  </si>
  <si>
    <t>2024-08-05</t>
  </si>
  <si>
    <t>P105</t>
  </si>
  <si>
    <t>TXN5020</t>
  </si>
  <si>
    <t>2024-01-26</t>
  </si>
  <si>
    <t>TXN5021</t>
  </si>
  <si>
    <t>2024-03-09</t>
  </si>
  <si>
    <t>P116</t>
  </si>
  <si>
    <t>TXN5022</t>
  </si>
  <si>
    <t>2024-06-11</t>
  </si>
  <si>
    <t>P114</t>
  </si>
  <si>
    <t>TXN5023</t>
  </si>
  <si>
    <t>2024-09-15</t>
  </si>
  <si>
    <t>P117</t>
  </si>
  <si>
    <t>TXN5024</t>
  </si>
  <si>
    <t>P108</t>
  </si>
  <si>
    <t>TXN5025</t>
  </si>
  <si>
    <t>2024-05-21</t>
  </si>
  <si>
    <t>TXN5026</t>
  </si>
  <si>
    <t>2024-05-02</t>
  </si>
  <si>
    <t>TXN5027</t>
  </si>
  <si>
    <t>2024-05-26</t>
  </si>
  <si>
    <t>TXN5028</t>
  </si>
  <si>
    <t>2024-10-03</t>
  </si>
  <si>
    <t>P104</t>
  </si>
  <si>
    <t>TXN5029</t>
  </si>
  <si>
    <t>2024-07-15</t>
  </si>
  <si>
    <t>TXN5030</t>
  </si>
  <si>
    <t>2024-07-31</t>
  </si>
  <si>
    <t>TXN5031</t>
  </si>
  <si>
    <t>TXN5032</t>
  </si>
  <si>
    <t>2024-10-26</t>
  </si>
  <si>
    <t>TXN5033</t>
  </si>
  <si>
    <t>2024-09-01</t>
  </si>
  <si>
    <t>P111</t>
  </si>
  <si>
    <t>TXN5034</t>
  </si>
  <si>
    <t>2024-08-02</t>
  </si>
  <si>
    <t>TXN5035</t>
  </si>
  <si>
    <t>2024-09-06</t>
  </si>
  <si>
    <t>TXN5036</t>
  </si>
  <si>
    <t>2024-01-15</t>
  </si>
  <si>
    <t>TXN5037</t>
  </si>
  <si>
    <t>2024-03-25</t>
  </si>
  <si>
    <t>TXN5038</t>
  </si>
  <si>
    <t>2024-01-14</t>
  </si>
  <si>
    <t>TXN5039</t>
  </si>
  <si>
    <t>TXN5040</t>
  </si>
  <si>
    <t>2024-08-24</t>
  </si>
  <si>
    <t>P101</t>
  </si>
  <si>
    <t>TXN5041</t>
  </si>
  <si>
    <t>2024-06-16</t>
  </si>
  <si>
    <t>TXN5042</t>
  </si>
  <si>
    <t>2024-07-13</t>
  </si>
  <si>
    <t>TXN5043</t>
  </si>
  <si>
    <t>2024-08-28</t>
  </si>
  <si>
    <t>TXN5044</t>
  </si>
  <si>
    <t>2024-04-24</t>
  </si>
  <si>
    <t>TXN5045</t>
  </si>
  <si>
    <t>2024-05-06</t>
  </si>
  <si>
    <t>TXN5046</t>
  </si>
  <si>
    <t>P115</t>
  </si>
  <si>
    <t>TXN5047</t>
  </si>
  <si>
    <t>2024-04-21</t>
  </si>
  <si>
    <t>TXN5048</t>
  </si>
  <si>
    <t>2024-02-28</t>
  </si>
  <si>
    <t>TXN5049</t>
  </si>
  <si>
    <t>2024-10-23</t>
  </si>
  <si>
    <t>TXN5050</t>
  </si>
  <si>
    <t>2024-07-11</t>
  </si>
  <si>
    <t>TXN5051</t>
  </si>
  <si>
    <t>TXN5052</t>
  </si>
  <si>
    <t>2024-10-16</t>
  </si>
  <si>
    <t>TXN5053</t>
  </si>
  <si>
    <t>2024-07-08</t>
  </si>
  <si>
    <t>TXN5054</t>
  </si>
  <si>
    <t>2024-08-03</t>
  </si>
  <si>
    <t>P103</t>
  </si>
  <si>
    <t>TXN5055</t>
  </si>
  <si>
    <t>2024-08-23</t>
  </si>
  <si>
    <t>TXN5056</t>
  </si>
  <si>
    <t>2024-09-24</t>
  </si>
  <si>
    <t>TXN5057</t>
  </si>
  <si>
    <t>2024-09-04</t>
  </si>
  <si>
    <t>TXN5058</t>
  </si>
  <si>
    <t>2024-06-14</t>
  </si>
  <si>
    <t>TXN5059</t>
  </si>
  <si>
    <t>TXN5060</t>
  </si>
  <si>
    <t>TXN5061</t>
  </si>
  <si>
    <t>2024-04-03</t>
  </si>
  <si>
    <t>TXN5062</t>
  </si>
  <si>
    <t>2024-06-23</t>
  </si>
  <si>
    <t>TXN5063</t>
  </si>
  <si>
    <t>2024-01-06</t>
  </si>
  <si>
    <t>TXN5064</t>
  </si>
  <si>
    <t>2024-07-27</t>
  </si>
  <si>
    <t>TXN5065</t>
  </si>
  <si>
    <t>TXN5066</t>
  </si>
  <si>
    <t>2024-02-17</t>
  </si>
  <si>
    <t>TXN5067</t>
  </si>
  <si>
    <t>TXN5068</t>
  </si>
  <si>
    <t>2024-10-10</t>
  </si>
  <si>
    <t>TXN5069</t>
  </si>
  <si>
    <t>2024-10-08</t>
  </si>
  <si>
    <t>TXN5070</t>
  </si>
  <si>
    <t>2024-06-05</t>
  </si>
  <si>
    <t>TXN5071</t>
  </si>
  <si>
    <t>2024-04-08</t>
  </si>
  <si>
    <t>TXN5072</t>
  </si>
  <si>
    <t>2024-04-04</t>
  </si>
  <si>
    <t>TXN5073</t>
  </si>
  <si>
    <t>2024-09-25</t>
  </si>
  <si>
    <t>TXN5074</t>
  </si>
  <si>
    <t>2024-05-31</t>
  </si>
  <si>
    <t>TXN5075</t>
  </si>
  <si>
    <t>2024-01-08</t>
  </si>
  <si>
    <t>TXN5076</t>
  </si>
  <si>
    <t>2024-01-24</t>
  </si>
  <si>
    <t>TXN5077</t>
  </si>
  <si>
    <t>2024-03-05</t>
  </si>
  <si>
    <t>TXN5078</t>
  </si>
  <si>
    <t>2024-10-20</t>
  </si>
  <si>
    <t>TXN5079</t>
  </si>
  <si>
    <t>TXN5080</t>
  </si>
  <si>
    <t>TXN5081</t>
  </si>
  <si>
    <t>2024-10-22</t>
  </si>
  <si>
    <t>TXN5082</t>
  </si>
  <si>
    <t>2024-10-15</t>
  </si>
  <si>
    <t>TXN5083</t>
  </si>
  <si>
    <t>2024-10-12</t>
  </si>
  <si>
    <t>TXN5084</t>
  </si>
  <si>
    <t>2024-04-25</t>
  </si>
  <si>
    <t>TXN5085</t>
  </si>
  <si>
    <t>TXN5086</t>
  </si>
  <si>
    <t>2024-10-18</t>
  </si>
  <si>
    <t>TXN5087</t>
  </si>
  <si>
    <t>2024-02-20</t>
  </si>
  <si>
    <t>TXN5088</t>
  </si>
  <si>
    <t>2024-02-11</t>
  </si>
  <si>
    <t>TXN5089</t>
  </si>
  <si>
    <t>2024-02-08</t>
  </si>
  <si>
    <t>TXN5090</t>
  </si>
  <si>
    <t>TXN5091</t>
  </si>
  <si>
    <t>2024-05-24</t>
  </si>
  <si>
    <t>TXN5092</t>
  </si>
  <si>
    <t>2024-04-29</t>
  </si>
  <si>
    <t>TXN5093</t>
  </si>
  <si>
    <t>TXN5094</t>
  </si>
  <si>
    <t>2024-03-17</t>
  </si>
  <si>
    <t>TXN5095</t>
  </si>
  <si>
    <t>TXN5096</t>
  </si>
  <si>
    <t>2024-08-12</t>
  </si>
  <si>
    <t>TXN5097</t>
  </si>
  <si>
    <t>2024-07-25</t>
  </si>
  <si>
    <t>TXN5098</t>
  </si>
  <si>
    <t>TXN5099</t>
  </si>
  <si>
    <t>TXN5100</t>
  </si>
  <si>
    <t>2024-04-27</t>
  </si>
  <si>
    <t>TXN5101</t>
  </si>
  <si>
    <t>2024-05-17</t>
  </si>
  <si>
    <t>TXN5102</t>
  </si>
  <si>
    <t>2024-09-22</t>
  </si>
  <si>
    <t>TXN5103</t>
  </si>
  <si>
    <t>TXN5104</t>
  </si>
  <si>
    <t>TXN5105</t>
  </si>
  <si>
    <t>2024-02-23</t>
  </si>
  <si>
    <t>TXN5106</t>
  </si>
  <si>
    <t>2024-09-10</t>
  </si>
  <si>
    <t>TXN5107</t>
  </si>
  <si>
    <t>2024-08-20</t>
  </si>
  <si>
    <t>TXN5108</t>
  </si>
  <si>
    <t>2024-02-29</t>
  </si>
  <si>
    <t>TXN5109</t>
  </si>
  <si>
    <t>2024-10-04</t>
  </si>
  <si>
    <t>TXN5110</t>
  </si>
  <si>
    <t>TXN5111</t>
  </si>
  <si>
    <t>TXN5112</t>
  </si>
  <si>
    <t>TXN5113</t>
  </si>
  <si>
    <t>2024-09-05</t>
  </si>
  <si>
    <t>TXN5114</t>
  </si>
  <si>
    <t>2024-03-22</t>
  </si>
  <si>
    <t>TXN5115</t>
  </si>
  <si>
    <t>TXN5116</t>
  </si>
  <si>
    <t>2024-03-01</t>
  </si>
  <si>
    <t>TXN5117</t>
  </si>
  <si>
    <t>2024-05-29</t>
  </si>
  <si>
    <t>TXN5118</t>
  </si>
  <si>
    <t>2024-08-29</t>
  </si>
  <si>
    <t>TXN5119</t>
  </si>
  <si>
    <t>TXN5120</t>
  </si>
  <si>
    <t>2024-03-10</t>
  </si>
  <si>
    <t>TXN5121</t>
  </si>
  <si>
    <t>2024-09-16</t>
  </si>
  <si>
    <t>TXN5122</t>
  </si>
  <si>
    <t>2024-06-01</t>
  </si>
  <si>
    <t>TXN5123</t>
  </si>
  <si>
    <t>2024-08-16</t>
  </si>
  <si>
    <t>TXN5124</t>
  </si>
  <si>
    <t>2024-10-09</t>
  </si>
  <si>
    <t>TXN5125</t>
  </si>
  <si>
    <t>2024-06-13</t>
  </si>
  <si>
    <t>TXN5126</t>
  </si>
  <si>
    <t>TXN5127</t>
  </si>
  <si>
    <t>2024-08-30</t>
  </si>
  <si>
    <t>TXN5128</t>
  </si>
  <si>
    <t>2024-03-18</t>
  </si>
  <si>
    <t>TXN5129</t>
  </si>
  <si>
    <t>2024-06-18</t>
  </si>
  <si>
    <t>TXN5130</t>
  </si>
  <si>
    <t>2024-08-21</t>
  </si>
  <si>
    <t>TXN5131</t>
  </si>
  <si>
    <t>2024-03-20</t>
  </si>
  <si>
    <t>TXN5132</t>
  </si>
  <si>
    <t>2024-07-22</t>
  </si>
  <si>
    <t>TXN5133</t>
  </si>
  <si>
    <t>2024-09-30</t>
  </si>
  <si>
    <t>TXN5134</t>
  </si>
  <si>
    <t>2024-01-19</t>
  </si>
  <si>
    <t>TXN5135</t>
  </si>
  <si>
    <t>2024-05-27</t>
  </si>
  <si>
    <t>TXN5136</t>
  </si>
  <si>
    <t>2024-02-21</t>
  </si>
  <si>
    <t>TXN5137</t>
  </si>
  <si>
    <t>TXN5138</t>
  </si>
  <si>
    <t>2024-07-10</t>
  </si>
  <si>
    <t>TXN5139</t>
  </si>
  <si>
    <t>2024-07-29</t>
  </si>
  <si>
    <t>TXN5140</t>
  </si>
  <si>
    <t>2024-02-10</t>
  </si>
  <si>
    <t>TXN5141</t>
  </si>
  <si>
    <t>2024-05-03</t>
  </si>
  <si>
    <t>TXN5142</t>
  </si>
  <si>
    <t>TXN5143</t>
  </si>
  <si>
    <t>2024-01-05</t>
  </si>
  <si>
    <t>TXN5144</t>
  </si>
  <si>
    <t>2024-02-07</t>
  </si>
  <si>
    <t>TXN5145</t>
  </si>
  <si>
    <t>TXN5146</t>
  </si>
  <si>
    <t>TXN5147</t>
  </si>
  <si>
    <t>2024-07-14</t>
  </si>
  <si>
    <t>TXN5148</t>
  </si>
  <si>
    <t>TXN5149</t>
  </si>
  <si>
    <t>TXN5150</t>
  </si>
  <si>
    <t>2024-09-11</t>
  </si>
  <si>
    <t>TXN5151</t>
  </si>
  <si>
    <t>2024-04-22</t>
  </si>
  <si>
    <t>TXN5152</t>
  </si>
  <si>
    <t>2024-03-11</t>
  </si>
  <si>
    <t>TXN5153</t>
  </si>
  <si>
    <t>2024-08-13</t>
  </si>
  <si>
    <t>TXN5154</t>
  </si>
  <si>
    <t>2024-03-08</t>
  </si>
  <si>
    <t>TXN5155</t>
  </si>
  <si>
    <t>TXN5156</t>
  </si>
  <si>
    <t>2024-07-06</t>
  </si>
  <si>
    <t>TXN5157</t>
  </si>
  <si>
    <t>2024-05-11</t>
  </si>
  <si>
    <t>TXN5158</t>
  </si>
  <si>
    <t>2024-08-27</t>
  </si>
  <si>
    <t>TXN5159</t>
  </si>
  <si>
    <t>TXN5160</t>
  </si>
  <si>
    <t>TXN5161</t>
  </si>
  <si>
    <t>2024-07-07</t>
  </si>
  <si>
    <t>TXN5162</t>
  </si>
  <si>
    <t>2024-07-09</t>
  </si>
  <si>
    <t>TXN5163</t>
  </si>
  <si>
    <t>2024-10-14</t>
  </si>
  <si>
    <t>TXN5164</t>
  </si>
  <si>
    <t>2024-02-02</t>
  </si>
  <si>
    <t>TXN5165</t>
  </si>
  <si>
    <t>TXN5166</t>
  </si>
  <si>
    <t>2024-06-04</t>
  </si>
  <si>
    <t>TXN5167</t>
  </si>
  <si>
    <t>TXN5168</t>
  </si>
  <si>
    <t>TXN5169</t>
  </si>
  <si>
    <t>TXN5170</t>
  </si>
  <si>
    <t>2024-01-17</t>
  </si>
  <si>
    <t>TXN5171</t>
  </si>
  <si>
    <t>2024-08-15</t>
  </si>
  <si>
    <t>TXN5172</t>
  </si>
  <si>
    <t>TXN5173</t>
  </si>
  <si>
    <t>TXN5174</t>
  </si>
  <si>
    <t>2024-02-16</t>
  </si>
  <si>
    <t>TXN5175</t>
  </si>
  <si>
    <t>TXN5176</t>
  </si>
  <si>
    <t>2024-04-15</t>
  </si>
  <si>
    <t>TXN5177</t>
  </si>
  <si>
    <t>2024-04-20</t>
  </si>
  <si>
    <t>TXN5178</t>
  </si>
  <si>
    <t>2024-01-02</t>
  </si>
  <si>
    <t>TXN5179</t>
  </si>
  <si>
    <t>2024-05-08</t>
  </si>
  <si>
    <t>TXN5180</t>
  </si>
  <si>
    <t>TXN5181</t>
  </si>
  <si>
    <t>2024-01-09</t>
  </si>
  <si>
    <t>TXN5182</t>
  </si>
  <si>
    <t>TXN5183</t>
  </si>
  <si>
    <t>2024-08-17</t>
  </si>
  <si>
    <t>TXN5184</t>
  </si>
  <si>
    <t>2024-02-25</t>
  </si>
  <si>
    <t>TXN5185</t>
  </si>
  <si>
    <t>2024-01-23</t>
  </si>
  <si>
    <t>TXN5186</t>
  </si>
  <si>
    <t>2024-01-16</t>
  </si>
  <si>
    <t>TXN5187</t>
  </si>
  <si>
    <t>TXN5188</t>
  </si>
  <si>
    <t>TXN5189</t>
  </si>
  <si>
    <t>2024-05-20</t>
  </si>
  <si>
    <t>TXN5190</t>
  </si>
  <si>
    <t>2024-06-15</t>
  </si>
  <si>
    <t>TXN5191</t>
  </si>
  <si>
    <t>TXN5192</t>
  </si>
  <si>
    <t>TXN5193</t>
  </si>
  <si>
    <t>TXN5194</t>
  </si>
  <si>
    <t>2024-06-22</t>
  </si>
  <si>
    <t>TXN5195</t>
  </si>
  <si>
    <t>2024-02-18</t>
  </si>
  <si>
    <t>TXN5196</t>
  </si>
  <si>
    <t>TXN5197</t>
  </si>
  <si>
    <t>TXN5198</t>
  </si>
  <si>
    <t>TXN5199</t>
  </si>
  <si>
    <t>TXN5200</t>
  </si>
  <si>
    <t>2024-06-30</t>
  </si>
  <si>
    <t>Use INDEX-MATCH combo(sarah smith salary)</t>
  </si>
  <si>
    <t xml:space="preserve">VLOOKUP </t>
  </si>
  <si>
    <t>USED THIS FORMULA …IN SHEET Sales transactions</t>
  </si>
  <si>
    <t>Product_Name</t>
  </si>
  <si>
    <t>Tablet</t>
  </si>
  <si>
    <t>Printer</t>
  </si>
  <si>
    <t>Mouse</t>
  </si>
  <si>
    <t>Laptop</t>
  </si>
  <si>
    <t>Desk</t>
  </si>
  <si>
    <t>Desktop</t>
  </si>
  <si>
    <t>Chair</t>
  </si>
  <si>
    <t>Keyboard</t>
  </si>
  <si>
    <t>Category</t>
  </si>
  <si>
    <t>Office Supplies</t>
  </si>
  <si>
    <t>Furniture</t>
  </si>
  <si>
    <t>Electronics</t>
  </si>
  <si>
    <t>Software</t>
  </si>
  <si>
    <t>Unit_Cost</t>
  </si>
  <si>
    <t>Retail_Price</t>
  </si>
  <si>
    <t>Supplier</t>
  </si>
  <si>
    <t>OfficeMax</t>
  </si>
  <si>
    <t>Furniture Plus</t>
  </si>
  <si>
    <t>TechCorp</t>
  </si>
  <si>
    <t>ElectroSupply</t>
  </si>
  <si>
    <t>Stock_Quantity</t>
  </si>
  <si>
    <t>Warehouse</t>
  </si>
  <si>
    <t>WH-Central</t>
  </si>
  <si>
    <t>WH-West</t>
  </si>
  <si>
    <t>WH-East</t>
  </si>
  <si>
    <t>fetch the unit price for each product code.</t>
  </si>
  <si>
    <r>
      <t xml:space="preserve">Find </t>
    </r>
    <r>
      <rPr>
        <b/>
        <sz val="11"/>
        <color theme="1"/>
        <rFont val="Calibri"/>
        <family val="2"/>
        <scheme val="minor"/>
      </rPr>
      <t>Stock_Quantity of Product_Code in another cell</t>
    </r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</si>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</sst>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1F1F1F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3" fillId="0" borderId="4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4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0" fillId="0" borderId="0" xfId="0" applyNumberFormat="1"/>
    <xf numFmtId="0" fontId="4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topLeftCell="G29" workbookViewId="0">
      <selection activeCell="L46" sqref="L46"/>
    </sheetView>
  </sheetViews>
  <sheetFormatPr defaultRowHeight="14.5" x14ac:dyDescent="0.35"/>
  <cols>
    <col min="1" max="1" width="11.81640625" bestFit="1" customWidth="1"/>
    <col min="2" max="2" width="15" bestFit="1" customWidth="1"/>
    <col min="3" max="3" width="11.08984375" bestFit="1" customWidth="1"/>
    <col min="4" max="4" width="10.90625" bestFit="1" customWidth="1"/>
    <col min="5" max="5" width="6.81640625" bestFit="1" customWidth="1"/>
    <col min="6" max="6" width="10.08984375" bestFit="1" customWidth="1"/>
    <col min="7" max="7" width="13.90625" bestFit="1" customWidth="1"/>
    <col min="8" max="8" width="24.81640625" bestFit="1" customWidth="1"/>
    <col min="9" max="10" width="12.08984375" bestFit="1" customWidth="1"/>
    <col min="11" max="11" width="45.36328125" bestFit="1" customWidth="1"/>
    <col min="12" max="12" width="43.54296875" bestFit="1" customWidth="1"/>
    <col min="13" max="13" width="22.81640625" bestFit="1" customWidth="1"/>
  </cols>
  <sheetData>
    <row r="1" spans="1:13" x14ac:dyDescent="0.35">
      <c r="L1" s="3" t="s">
        <v>275</v>
      </c>
      <c r="M1" s="4"/>
    </row>
    <row r="2" spans="1:13" x14ac:dyDescent="0.35">
      <c r="A2" s="19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2"/>
      <c r="K2" s="5" t="s">
        <v>261</v>
      </c>
      <c r="L2" s="6" t="s">
        <v>263</v>
      </c>
    </row>
    <row r="3" spans="1:13" x14ac:dyDescent="0.35">
      <c r="A3" s="18" t="s">
        <v>9</v>
      </c>
      <c r="B3" t="s">
        <v>10</v>
      </c>
      <c r="C3" t="s">
        <v>11</v>
      </c>
      <c r="D3" t="s">
        <v>12</v>
      </c>
      <c r="E3">
        <v>72098</v>
      </c>
      <c r="F3" t="s">
        <v>13</v>
      </c>
      <c r="G3" t="s">
        <v>14</v>
      </c>
      <c r="H3" t="s">
        <v>15</v>
      </c>
      <c r="I3" t="s">
        <v>16</v>
      </c>
      <c r="K3" s="7" t="s">
        <v>264</v>
      </c>
      <c r="L3" s="8">
        <f>SUM(E3:E52)</f>
        <v>3923380</v>
      </c>
    </row>
    <row r="4" spans="1:13" x14ac:dyDescent="0.35">
      <c r="A4" s="18" t="s">
        <v>17</v>
      </c>
      <c r="B4" t="s">
        <v>18</v>
      </c>
      <c r="C4" t="s">
        <v>19</v>
      </c>
      <c r="D4" t="s">
        <v>20</v>
      </c>
      <c r="E4">
        <v>44165</v>
      </c>
      <c r="F4" t="s">
        <v>21</v>
      </c>
      <c r="G4" t="s">
        <v>22</v>
      </c>
      <c r="H4" t="s">
        <v>23</v>
      </c>
      <c r="I4" t="s">
        <v>24</v>
      </c>
      <c r="K4" s="7" t="s">
        <v>265</v>
      </c>
      <c r="L4" s="8">
        <f>AVERAGE(E3:E52)</f>
        <v>78467.600000000006</v>
      </c>
    </row>
    <row r="5" spans="1:13" x14ac:dyDescent="0.35">
      <c r="A5" s="18" t="s">
        <v>25</v>
      </c>
      <c r="B5" t="s">
        <v>26</v>
      </c>
      <c r="C5" t="s">
        <v>19</v>
      </c>
      <c r="D5" t="s">
        <v>27</v>
      </c>
      <c r="E5">
        <v>111426</v>
      </c>
      <c r="F5" t="s">
        <v>28</v>
      </c>
      <c r="G5" t="s">
        <v>14</v>
      </c>
      <c r="H5" t="s">
        <v>29</v>
      </c>
      <c r="I5" t="s">
        <v>30</v>
      </c>
      <c r="K5" s="9" t="s">
        <v>266</v>
      </c>
      <c r="L5" s="8">
        <f>COUNTA(A3:A52)</f>
        <v>50</v>
      </c>
    </row>
    <row r="6" spans="1:13" x14ac:dyDescent="0.35">
      <c r="A6" s="18" t="s">
        <v>31</v>
      </c>
      <c r="B6" t="s">
        <v>32</v>
      </c>
      <c r="C6" t="s">
        <v>11</v>
      </c>
      <c r="D6" t="s">
        <v>20</v>
      </c>
      <c r="E6">
        <v>84597</v>
      </c>
      <c r="F6" t="s">
        <v>33</v>
      </c>
      <c r="G6" t="s">
        <v>14</v>
      </c>
      <c r="H6" t="s">
        <v>34</v>
      </c>
      <c r="I6" t="s">
        <v>35</v>
      </c>
      <c r="K6" s="9" t="s">
        <v>267</v>
      </c>
      <c r="L6" s="8">
        <f>MAX(E3:E52)</f>
        <v>116569</v>
      </c>
    </row>
    <row r="7" spans="1:13" x14ac:dyDescent="0.35">
      <c r="A7" s="18" t="s">
        <v>36</v>
      </c>
      <c r="B7" t="s">
        <v>37</v>
      </c>
      <c r="C7" t="s">
        <v>38</v>
      </c>
      <c r="D7" t="s">
        <v>39</v>
      </c>
      <c r="E7">
        <v>87052</v>
      </c>
      <c r="F7" t="s">
        <v>40</v>
      </c>
      <c r="G7" t="s">
        <v>41</v>
      </c>
      <c r="H7" t="s">
        <v>42</v>
      </c>
      <c r="I7" t="s">
        <v>43</v>
      </c>
      <c r="K7" s="9" t="s">
        <v>268</v>
      </c>
      <c r="L7" s="8">
        <f>MIN(E3:E52)</f>
        <v>41220</v>
      </c>
    </row>
    <row r="8" spans="1:13" x14ac:dyDescent="0.35">
      <c r="A8" s="18" t="s">
        <v>44</v>
      </c>
      <c r="B8" t="s">
        <v>45</v>
      </c>
      <c r="C8" t="s">
        <v>38</v>
      </c>
      <c r="D8" t="s">
        <v>39</v>
      </c>
      <c r="E8">
        <v>112357</v>
      </c>
      <c r="F8" t="s">
        <v>46</v>
      </c>
      <c r="G8" t="s">
        <v>41</v>
      </c>
      <c r="H8" t="s">
        <v>47</v>
      </c>
      <c r="I8" t="s">
        <v>48</v>
      </c>
      <c r="K8" s="9" t="s">
        <v>269</v>
      </c>
      <c r="L8" s="8">
        <f>COUNTIF(C2:C52, "Operations")</f>
        <v>10</v>
      </c>
    </row>
    <row r="9" spans="1:13" x14ac:dyDescent="0.35">
      <c r="A9" s="18" t="s">
        <v>49</v>
      </c>
      <c r="B9" t="s">
        <v>50</v>
      </c>
      <c r="C9" t="s">
        <v>11</v>
      </c>
      <c r="D9" t="s">
        <v>39</v>
      </c>
      <c r="E9">
        <v>46006</v>
      </c>
      <c r="F9" t="s">
        <v>51</v>
      </c>
      <c r="G9" t="s">
        <v>14</v>
      </c>
      <c r="H9" t="s">
        <v>52</v>
      </c>
      <c r="I9" t="s">
        <v>53</v>
      </c>
      <c r="K9" s="9" t="s">
        <v>270</v>
      </c>
      <c r="L9" s="8">
        <f>COUNTIF(C2:C52, "Sales")</f>
        <v>11</v>
      </c>
    </row>
    <row r="10" spans="1:13" x14ac:dyDescent="0.35">
      <c r="A10" s="18" t="s">
        <v>54</v>
      </c>
      <c r="B10" t="s">
        <v>55</v>
      </c>
      <c r="C10" t="s">
        <v>56</v>
      </c>
      <c r="D10" t="s">
        <v>20</v>
      </c>
      <c r="E10">
        <v>76434</v>
      </c>
      <c r="F10" t="s">
        <v>57</v>
      </c>
      <c r="G10" t="s">
        <v>58</v>
      </c>
      <c r="H10" t="s">
        <v>59</v>
      </c>
      <c r="I10" t="s">
        <v>60</v>
      </c>
      <c r="K10" s="9" t="s">
        <v>271</v>
      </c>
      <c r="L10" s="8">
        <f>COUNTIF(C2:C52, "HR")</f>
        <v>7</v>
      </c>
    </row>
    <row r="11" spans="1:13" x14ac:dyDescent="0.35">
      <c r="A11" s="18" t="s">
        <v>61</v>
      </c>
      <c r="B11" t="s">
        <v>62</v>
      </c>
      <c r="C11" t="s">
        <v>11</v>
      </c>
      <c r="D11" t="s">
        <v>12</v>
      </c>
      <c r="E11">
        <v>49358</v>
      </c>
      <c r="F11" t="s">
        <v>63</v>
      </c>
      <c r="G11" t="s">
        <v>14</v>
      </c>
      <c r="H11" t="s">
        <v>64</v>
      </c>
      <c r="I11" t="s">
        <v>65</v>
      </c>
      <c r="K11" s="9" t="s">
        <v>272</v>
      </c>
      <c r="L11" s="8">
        <f>COUNTIF(C2:C52, "Finance")</f>
        <v>9</v>
      </c>
    </row>
    <row r="12" spans="1:13" x14ac:dyDescent="0.35">
      <c r="A12" s="18" t="s">
        <v>66</v>
      </c>
      <c r="B12" t="s">
        <v>67</v>
      </c>
      <c r="C12" t="s">
        <v>38</v>
      </c>
      <c r="D12" t="s">
        <v>12</v>
      </c>
      <c r="E12">
        <v>113000</v>
      </c>
      <c r="F12" t="s">
        <v>68</v>
      </c>
      <c r="G12" t="s">
        <v>58</v>
      </c>
      <c r="H12" t="s">
        <v>69</v>
      </c>
      <c r="I12" t="s">
        <v>70</v>
      </c>
      <c r="K12" s="9" t="s">
        <v>273</v>
      </c>
      <c r="L12" s="8">
        <f>COUNTIF(C2:C52, "Marketing")</f>
        <v>8</v>
      </c>
    </row>
    <row r="13" spans="1:13" ht="15" thickBot="1" x14ac:dyDescent="0.4">
      <c r="A13" s="18" t="s">
        <v>71</v>
      </c>
      <c r="B13" t="s">
        <v>72</v>
      </c>
      <c r="C13" t="s">
        <v>73</v>
      </c>
      <c r="D13" t="s">
        <v>20</v>
      </c>
      <c r="E13">
        <v>75093</v>
      </c>
      <c r="F13" t="s">
        <v>74</v>
      </c>
      <c r="G13" t="s">
        <v>14</v>
      </c>
      <c r="H13" t="s">
        <v>75</v>
      </c>
      <c r="I13" t="s">
        <v>76</v>
      </c>
      <c r="K13" s="10" t="s">
        <v>274</v>
      </c>
      <c r="L13" s="11">
        <f>COUNTIF(C2:C52, "IT")</f>
        <v>5</v>
      </c>
    </row>
    <row r="14" spans="1:13" x14ac:dyDescent="0.35">
      <c r="A14" s="18" t="s">
        <v>77</v>
      </c>
      <c r="B14" t="s">
        <v>78</v>
      </c>
      <c r="C14" t="s">
        <v>38</v>
      </c>
      <c r="D14" t="s">
        <v>20</v>
      </c>
      <c r="E14">
        <v>58726</v>
      </c>
      <c r="F14" t="s">
        <v>79</v>
      </c>
      <c r="G14" t="s">
        <v>14</v>
      </c>
      <c r="H14" t="s">
        <v>80</v>
      </c>
      <c r="I14" t="s">
        <v>81</v>
      </c>
    </row>
    <row r="15" spans="1:13" ht="15" thickBot="1" x14ac:dyDescent="0.4">
      <c r="A15" s="18" t="s">
        <v>82</v>
      </c>
      <c r="B15" t="s">
        <v>83</v>
      </c>
      <c r="C15" t="s">
        <v>19</v>
      </c>
      <c r="D15" t="s">
        <v>20</v>
      </c>
      <c r="E15">
        <v>87447</v>
      </c>
      <c r="F15" t="s">
        <v>84</v>
      </c>
      <c r="G15" t="s">
        <v>14</v>
      </c>
      <c r="H15" t="s">
        <v>85</v>
      </c>
      <c r="I15" t="s">
        <v>86</v>
      </c>
    </row>
    <row r="16" spans="1:13" x14ac:dyDescent="0.35">
      <c r="A16" s="18" t="s">
        <v>87</v>
      </c>
      <c r="B16" t="s">
        <v>10</v>
      </c>
      <c r="C16" t="s">
        <v>56</v>
      </c>
      <c r="D16" t="s">
        <v>27</v>
      </c>
      <c r="E16">
        <v>60969</v>
      </c>
      <c r="F16" t="s">
        <v>88</v>
      </c>
      <c r="G16" t="s">
        <v>89</v>
      </c>
      <c r="H16" t="s">
        <v>90</v>
      </c>
      <c r="I16" t="s">
        <v>91</v>
      </c>
      <c r="K16" s="3" t="s">
        <v>276</v>
      </c>
      <c r="L16" s="4"/>
    </row>
    <row r="17" spans="1:12" x14ac:dyDescent="0.35">
      <c r="A17" s="18" t="s">
        <v>92</v>
      </c>
      <c r="B17" t="s">
        <v>93</v>
      </c>
      <c r="C17" t="s">
        <v>19</v>
      </c>
      <c r="D17" t="s">
        <v>20</v>
      </c>
      <c r="E17">
        <v>109352</v>
      </c>
      <c r="F17" t="s">
        <v>94</v>
      </c>
      <c r="G17" t="s">
        <v>41</v>
      </c>
      <c r="H17" t="s">
        <v>95</v>
      </c>
      <c r="I17" t="s">
        <v>96</v>
      </c>
      <c r="K17" s="15" t="s">
        <v>261</v>
      </c>
      <c r="L17" s="16" t="s">
        <v>262</v>
      </c>
    </row>
    <row r="18" spans="1:12" x14ac:dyDescent="0.35">
      <c r="A18" s="18" t="s">
        <v>97</v>
      </c>
      <c r="B18" t="s">
        <v>98</v>
      </c>
      <c r="C18" t="s">
        <v>11</v>
      </c>
      <c r="D18" t="s">
        <v>12</v>
      </c>
      <c r="E18">
        <v>54621</v>
      </c>
      <c r="F18" t="s">
        <v>99</v>
      </c>
      <c r="G18" t="s">
        <v>89</v>
      </c>
      <c r="H18" t="s">
        <v>100</v>
      </c>
      <c r="I18" t="s">
        <v>101</v>
      </c>
      <c r="K18" s="9" t="s">
        <v>277</v>
      </c>
      <c r="L18" s="8" t="str">
        <f>LEFT(B3,5)</f>
        <v>Sarah</v>
      </c>
    </row>
    <row r="19" spans="1:12" x14ac:dyDescent="0.35">
      <c r="A19" s="18" t="s">
        <v>102</v>
      </c>
      <c r="B19" t="s">
        <v>103</v>
      </c>
      <c r="C19" t="s">
        <v>19</v>
      </c>
      <c r="D19" t="s">
        <v>27</v>
      </c>
      <c r="E19">
        <v>106542</v>
      </c>
      <c r="F19" t="s">
        <v>104</v>
      </c>
      <c r="G19" t="s">
        <v>58</v>
      </c>
      <c r="H19" t="s">
        <v>105</v>
      </c>
      <c r="I19" t="s">
        <v>106</v>
      </c>
      <c r="K19" s="9" t="s">
        <v>278</v>
      </c>
      <c r="L19" s="8" t="str">
        <f>RIGHT(B3,5)</f>
        <v>Smith</v>
      </c>
    </row>
    <row r="20" spans="1:12" x14ac:dyDescent="0.35">
      <c r="A20" s="18" t="s">
        <v>107</v>
      </c>
      <c r="B20" t="s">
        <v>50</v>
      </c>
      <c r="C20" t="s">
        <v>108</v>
      </c>
      <c r="D20" t="s">
        <v>12</v>
      </c>
      <c r="E20">
        <v>61174</v>
      </c>
      <c r="F20" t="s">
        <v>109</v>
      </c>
      <c r="G20" t="s">
        <v>41</v>
      </c>
      <c r="H20" t="s">
        <v>110</v>
      </c>
      <c r="I20" t="s">
        <v>111</v>
      </c>
      <c r="K20" s="9" t="s">
        <v>279</v>
      </c>
      <c r="L20" s="8" t="str">
        <f>RIGHT(H3,(LEN(H3)+1)-FIND("@",H3))</f>
        <v>@company.com</v>
      </c>
    </row>
    <row r="21" spans="1:12" ht="15" thickBot="1" x14ac:dyDescent="0.4">
      <c r="A21" s="18" t="s">
        <v>112</v>
      </c>
      <c r="B21" t="s">
        <v>113</v>
      </c>
      <c r="C21" t="s">
        <v>56</v>
      </c>
      <c r="D21" t="s">
        <v>12</v>
      </c>
      <c r="E21">
        <v>80306</v>
      </c>
      <c r="F21" t="s">
        <v>114</v>
      </c>
      <c r="G21" t="s">
        <v>22</v>
      </c>
      <c r="H21" t="s">
        <v>115</v>
      </c>
      <c r="I21" t="s">
        <v>116</v>
      </c>
      <c r="K21" s="10" t="s">
        <v>280</v>
      </c>
      <c r="L21" s="11" t="str">
        <f>TRIM(A2)</f>
        <v>Employee_ID</v>
      </c>
    </row>
    <row r="22" spans="1:12" x14ac:dyDescent="0.35">
      <c r="A22" s="18" t="s">
        <v>117</v>
      </c>
      <c r="B22" t="s">
        <v>118</v>
      </c>
      <c r="C22" t="s">
        <v>56</v>
      </c>
      <c r="D22" t="s">
        <v>119</v>
      </c>
      <c r="E22">
        <v>56483</v>
      </c>
      <c r="F22" t="s">
        <v>120</v>
      </c>
      <c r="G22" t="s">
        <v>89</v>
      </c>
      <c r="H22" t="s">
        <v>121</v>
      </c>
      <c r="I22" t="s">
        <v>122</v>
      </c>
    </row>
    <row r="23" spans="1:12" x14ac:dyDescent="0.35">
      <c r="A23" s="18" t="s">
        <v>123</v>
      </c>
      <c r="B23" t="s">
        <v>83</v>
      </c>
      <c r="C23" t="s">
        <v>108</v>
      </c>
      <c r="D23" t="s">
        <v>119</v>
      </c>
      <c r="E23">
        <v>66365</v>
      </c>
      <c r="F23" t="s">
        <v>124</v>
      </c>
      <c r="G23" t="s">
        <v>58</v>
      </c>
      <c r="H23" t="s">
        <v>125</v>
      </c>
      <c r="I23" t="s">
        <v>126</v>
      </c>
    </row>
    <row r="24" spans="1:12" x14ac:dyDescent="0.35">
      <c r="A24" s="18" t="s">
        <v>127</v>
      </c>
      <c r="B24" t="s">
        <v>128</v>
      </c>
      <c r="C24" t="s">
        <v>56</v>
      </c>
      <c r="D24" t="s">
        <v>27</v>
      </c>
      <c r="E24">
        <v>69451</v>
      </c>
      <c r="F24" t="s">
        <v>129</v>
      </c>
      <c r="G24" t="s">
        <v>58</v>
      </c>
      <c r="H24" t="s">
        <v>130</v>
      </c>
      <c r="I24" t="s">
        <v>131</v>
      </c>
      <c r="K24" s="2" t="s">
        <v>281</v>
      </c>
      <c r="L24" s="2"/>
    </row>
    <row r="25" spans="1:12" x14ac:dyDescent="0.35">
      <c r="A25" s="18" t="s">
        <v>132</v>
      </c>
      <c r="B25" t="s">
        <v>50</v>
      </c>
      <c r="C25" t="s">
        <v>56</v>
      </c>
      <c r="D25" t="s">
        <v>39</v>
      </c>
      <c r="E25">
        <v>47716</v>
      </c>
      <c r="F25" t="s">
        <v>133</v>
      </c>
      <c r="G25" t="s">
        <v>22</v>
      </c>
      <c r="H25" t="s">
        <v>134</v>
      </c>
      <c r="I25" t="s">
        <v>135</v>
      </c>
      <c r="K25" s="17" t="s">
        <v>261</v>
      </c>
      <c r="L25" s="17" t="s">
        <v>262</v>
      </c>
    </row>
    <row r="26" spans="1:12" x14ac:dyDescent="0.35">
      <c r="A26" s="18" t="s">
        <v>136</v>
      </c>
      <c r="B26" t="s">
        <v>55</v>
      </c>
      <c r="C26" t="s">
        <v>73</v>
      </c>
      <c r="D26" t="s">
        <v>20</v>
      </c>
      <c r="E26">
        <v>68080</v>
      </c>
      <c r="F26" t="s">
        <v>137</v>
      </c>
      <c r="G26" t="s">
        <v>14</v>
      </c>
      <c r="H26" t="s">
        <v>138</v>
      </c>
      <c r="I26" t="s">
        <v>139</v>
      </c>
      <c r="K26" s="13" t="s">
        <v>282</v>
      </c>
      <c r="L26" s="2">
        <f ca="1">DATEDIF(F3,TODAY(),"Y")</f>
        <v>8</v>
      </c>
    </row>
    <row r="27" spans="1:12" x14ac:dyDescent="0.35">
      <c r="A27" s="18" t="s">
        <v>140</v>
      </c>
      <c r="B27" t="s">
        <v>78</v>
      </c>
      <c r="C27" t="s">
        <v>38</v>
      </c>
      <c r="D27" t="s">
        <v>27</v>
      </c>
      <c r="E27">
        <v>52363</v>
      </c>
      <c r="F27" t="s">
        <v>141</v>
      </c>
      <c r="G27" t="s">
        <v>89</v>
      </c>
      <c r="H27" t="s">
        <v>142</v>
      </c>
      <c r="I27" t="s">
        <v>143</v>
      </c>
      <c r="K27" s="13" t="s">
        <v>283</v>
      </c>
      <c r="L27" s="14" t="str">
        <f>TEXT(F3,"mmmm")</f>
        <v>July</v>
      </c>
    </row>
    <row r="28" spans="1:12" x14ac:dyDescent="0.35">
      <c r="A28" s="18" t="s">
        <v>144</v>
      </c>
      <c r="B28" t="s">
        <v>145</v>
      </c>
      <c r="C28" t="s">
        <v>11</v>
      </c>
      <c r="D28" t="s">
        <v>39</v>
      </c>
      <c r="E28">
        <v>52899</v>
      </c>
      <c r="F28" t="s">
        <v>146</v>
      </c>
      <c r="G28" t="s">
        <v>89</v>
      </c>
      <c r="H28" t="s">
        <v>147</v>
      </c>
      <c r="I28" t="s">
        <v>148</v>
      </c>
      <c r="K28" s="13" t="s">
        <v>284</v>
      </c>
      <c r="L28" s="14" t="str">
        <f>IF(YEAR(F3:F52)&gt;2020, "YES", "NO")</f>
        <v>NO</v>
      </c>
    </row>
    <row r="29" spans="1:12" x14ac:dyDescent="0.35">
      <c r="A29" s="18" t="s">
        <v>149</v>
      </c>
      <c r="B29" t="s">
        <v>55</v>
      </c>
      <c r="C29" t="s">
        <v>108</v>
      </c>
      <c r="D29" t="s">
        <v>27</v>
      </c>
      <c r="E29">
        <v>110292</v>
      </c>
      <c r="F29" t="s">
        <v>150</v>
      </c>
      <c r="G29" t="s">
        <v>14</v>
      </c>
      <c r="H29" t="s">
        <v>151</v>
      </c>
      <c r="I29" t="s">
        <v>152</v>
      </c>
    </row>
    <row r="30" spans="1:12" x14ac:dyDescent="0.35">
      <c r="A30" s="18" t="s">
        <v>153</v>
      </c>
      <c r="B30" t="s">
        <v>154</v>
      </c>
      <c r="C30" t="s">
        <v>108</v>
      </c>
      <c r="D30" t="s">
        <v>39</v>
      </c>
      <c r="E30">
        <v>98082</v>
      </c>
      <c r="F30" t="s">
        <v>155</v>
      </c>
      <c r="G30" t="s">
        <v>22</v>
      </c>
      <c r="H30" t="s">
        <v>156</v>
      </c>
      <c r="I30" t="s">
        <v>157</v>
      </c>
    </row>
    <row r="31" spans="1:12" x14ac:dyDescent="0.35">
      <c r="A31" s="18" t="s">
        <v>158</v>
      </c>
      <c r="B31" t="s">
        <v>159</v>
      </c>
      <c r="C31" t="s">
        <v>108</v>
      </c>
      <c r="D31" t="s">
        <v>27</v>
      </c>
      <c r="E31">
        <v>93269</v>
      </c>
      <c r="F31" t="s">
        <v>160</v>
      </c>
      <c r="G31" t="s">
        <v>89</v>
      </c>
      <c r="H31" t="s">
        <v>161</v>
      </c>
      <c r="I31" t="s">
        <v>162</v>
      </c>
      <c r="K31" s="17" t="s">
        <v>285</v>
      </c>
      <c r="L31" s="2" t="s">
        <v>287</v>
      </c>
    </row>
    <row r="32" spans="1:12" x14ac:dyDescent="0.35">
      <c r="A32" s="18" t="s">
        <v>163</v>
      </c>
      <c r="B32" t="s">
        <v>32</v>
      </c>
      <c r="C32" t="s">
        <v>38</v>
      </c>
      <c r="D32" t="s">
        <v>39</v>
      </c>
      <c r="E32">
        <v>91173</v>
      </c>
      <c r="F32" t="s">
        <v>164</v>
      </c>
      <c r="G32" t="s">
        <v>89</v>
      </c>
      <c r="H32" t="s">
        <v>165</v>
      </c>
      <c r="I32" t="s">
        <v>166</v>
      </c>
      <c r="K32" s="17" t="s">
        <v>261</v>
      </c>
      <c r="L32" s="17" t="s">
        <v>262</v>
      </c>
    </row>
    <row r="33" spans="1:12" x14ac:dyDescent="0.35">
      <c r="A33" s="18" t="s">
        <v>167</v>
      </c>
      <c r="B33" t="s">
        <v>168</v>
      </c>
      <c r="C33" t="s">
        <v>108</v>
      </c>
      <c r="D33" t="s">
        <v>27</v>
      </c>
      <c r="E33">
        <v>78890</v>
      </c>
      <c r="F33" t="s">
        <v>169</v>
      </c>
      <c r="G33" t="s">
        <v>22</v>
      </c>
      <c r="H33" t="s">
        <v>170</v>
      </c>
      <c r="I33" t="s">
        <v>171</v>
      </c>
      <c r="K33" s="2" t="s">
        <v>286</v>
      </c>
      <c r="L33" s="2">
        <f>INDEX($E$2:$E$52, MATCH(B5, $B$2:$B$52, 0))</f>
        <v>111426</v>
      </c>
    </row>
    <row r="34" spans="1:12" x14ac:dyDescent="0.35">
      <c r="A34" s="18" t="s">
        <v>172</v>
      </c>
      <c r="B34" t="s">
        <v>173</v>
      </c>
      <c r="C34" t="s">
        <v>56</v>
      </c>
      <c r="D34" t="s">
        <v>39</v>
      </c>
      <c r="E34">
        <v>116569</v>
      </c>
      <c r="F34" t="s">
        <v>174</v>
      </c>
      <c r="G34" t="s">
        <v>41</v>
      </c>
      <c r="H34" t="s">
        <v>175</v>
      </c>
      <c r="I34" t="s">
        <v>176</v>
      </c>
      <c r="K34" s="2" t="s">
        <v>663</v>
      </c>
      <c r="L34" s="2">
        <f>INDEX(E2:E52, MATCH("Sarah Smith", B2:B52, 0))</f>
        <v>72098</v>
      </c>
    </row>
    <row r="35" spans="1:12" x14ac:dyDescent="0.35">
      <c r="A35" s="18" t="s">
        <v>177</v>
      </c>
      <c r="B35" t="s">
        <v>178</v>
      </c>
      <c r="C35" t="s">
        <v>19</v>
      </c>
      <c r="D35" t="s">
        <v>39</v>
      </c>
      <c r="E35">
        <v>64356</v>
      </c>
      <c r="F35" t="s">
        <v>179</v>
      </c>
      <c r="G35" t="s">
        <v>41</v>
      </c>
      <c r="H35" t="s">
        <v>180</v>
      </c>
      <c r="I35" t="s">
        <v>181</v>
      </c>
      <c r="K35" s="2" t="s">
        <v>288</v>
      </c>
      <c r="L35" s="14" t="str">
        <f>INDEX(C3:C52, MATCH("EMP1007",A3:A52,0))</f>
        <v>Operations</v>
      </c>
    </row>
    <row r="36" spans="1:12" x14ac:dyDescent="0.35">
      <c r="A36" s="18" t="s">
        <v>182</v>
      </c>
      <c r="B36" t="s">
        <v>183</v>
      </c>
      <c r="C36" t="s">
        <v>19</v>
      </c>
      <c r="D36" t="s">
        <v>27</v>
      </c>
      <c r="E36">
        <v>115880</v>
      </c>
      <c r="F36" t="s">
        <v>184</v>
      </c>
      <c r="G36" t="s">
        <v>22</v>
      </c>
      <c r="H36" t="s">
        <v>185</v>
      </c>
      <c r="I36" t="s">
        <v>186</v>
      </c>
      <c r="K36" s="13" t="s">
        <v>664</v>
      </c>
      <c r="L36" s="13" t="s">
        <v>665</v>
      </c>
    </row>
    <row r="37" spans="1:12" x14ac:dyDescent="0.35">
      <c r="A37" s="18" t="s">
        <v>187</v>
      </c>
      <c r="B37" t="s">
        <v>188</v>
      </c>
      <c r="C37" t="s">
        <v>73</v>
      </c>
      <c r="D37" t="s">
        <v>27</v>
      </c>
      <c r="E37">
        <v>81180</v>
      </c>
      <c r="F37" t="s">
        <v>189</v>
      </c>
      <c r="G37" t="s">
        <v>58</v>
      </c>
      <c r="H37" t="s">
        <v>190</v>
      </c>
      <c r="I37" t="s">
        <v>191</v>
      </c>
      <c r="K37" s="13" t="s">
        <v>694</v>
      </c>
      <c r="L37" s="2"/>
    </row>
    <row r="38" spans="1:12" x14ac:dyDescent="0.35">
      <c r="A38" s="18" t="s">
        <v>192</v>
      </c>
      <c r="B38" t="s">
        <v>154</v>
      </c>
      <c r="C38" t="s">
        <v>73</v>
      </c>
      <c r="D38" t="s">
        <v>39</v>
      </c>
      <c r="E38">
        <v>41220</v>
      </c>
      <c r="F38" t="s">
        <v>193</v>
      </c>
      <c r="G38" t="s">
        <v>41</v>
      </c>
      <c r="H38" t="s">
        <v>194</v>
      </c>
      <c r="I38" t="s">
        <v>195</v>
      </c>
      <c r="K38" s="2" t="s">
        <v>692</v>
      </c>
      <c r="L38" s="2">
        <v>489</v>
      </c>
    </row>
    <row r="39" spans="1:12" x14ac:dyDescent="0.35">
      <c r="A39" s="18" t="s">
        <v>196</v>
      </c>
      <c r="B39" t="s">
        <v>55</v>
      </c>
      <c r="C39" t="s">
        <v>19</v>
      </c>
      <c r="D39" t="s">
        <v>12</v>
      </c>
      <c r="E39">
        <v>57361</v>
      </c>
      <c r="F39" t="s">
        <v>197</v>
      </c>
      <c r="G39" t="s">
        <v>22</v>
      </c>
      <c r="H39" t="s">
        <v>198</v>
      </c>
      <c r="I39" t="s">
        <v>199</v>
      </c>
      <c r="K39" s="2" t="s">
        <v>693</v>
      </c>
      <c r="L39" s="2">
        <v>165</v>
      </c>
    </row>
    <row r="40" spans="1:12" x14ac:dyDescent="0.35">
      <c r="A40" s="18" t="s">
        <v>200</v>
      </c>
      <c r="B40" t="s">
        <v>201</v>
      </c>
      <c r="C40" t="s">
        <v>38</v>
      </c>
      <c r="D40" t="s">
        <v>119</v>
      </c>
      <c r="E40">
        <v>79651</v>
      </c>
      <c r="F40" t="s">
        <v>202</v>
      </c>
      <c r="G40" t="s">
        <v>41</v>
      </c>
      <c r="H40" t="s">
        <v>203</v>
      </c>
      <c r="I40" t="s">
        <v>204</v>
      </c>
    </row>
    <row r="41" spans="1:12" x14ac:dyDescent="0.35">
      <c r="A41" s="18" t="s">
        <v>205</v>
      </c>
      <c r="B41" t="s">
        <v>206</v>
      </c>
      <c r="C41" t="s">
        <v>73</v>
      </c>
      <c r="D41" t="s">
        <v>39</v>
      </c>
      <c r="E41">
        <v>54029</v>
      </c>
      <c r="F41" t="s">
        <v>207</v>
      </c>
      <c r="G41" t="s">
        <v>14</v>
      </c>
      <c r="H41" t="s">
        <v>208</v>
      </c>
      <c r="I41" t="s">
        <v>209</v>
      </c>
    </row>
    <row r="42" spans="1:12" x14ac:dyDescent="0.35">
      <c r="A42" s="18" t="s">
        <v>210</v>
      </c>
      <c r="B42" t="s">
        <v>50</v>
      </c>
      <c r="C42" t="s">
        <v>11</v>
      </c>
      <c r="D42" t="s">
        <v>12</v>
      </c>
      <c r="E42">
        <v>66685</v>
      </c>
      <c r="F42" t="s">
        <v>211</v>
      </c>
      <c r="G42" t="s">
        <v>58</v>
      </c>
      <c r="H42" t="s">
        <v>212</v>
      </c>
      <c r="I42" t="s">
        <v>213</v>
      </c>
    </row>
    <row r="43" spans="1:12" x14ac:dyDescent="0.35">
      <c r="A43" s="18" t="s">
        <v>214</v>
      </c>
      <c r="B43" t="s">
        <v>215</v>
      </c>
      <c r="C43" t="s">
        <v>56</v>
      </c>
      <c r="D43" t="s">
        <v>20</v>
      </c>
      <c r="E43">
        <v>76265</v>
      </c>
      <c r="F43" t="s">
        <v>216</v>
      </c>
      <c r="G43" t="s">
        <v>22</v>
      </c>
      <c r="H43" t="s">
        <v>217</v>
      </c>
      <c r="I43" t="s">
        <v>218</v>
      </c>
    </row>
    <row r="44" spans="1:12" x14ac:dyDescent="0.35">
      <c r="A44" s="18" t="s">
        <v>219</v>
      </c>
      <c r="B44" t="s">
        <v>201</v>
      </c>
      <c r="C44" t="s">
        <v>11</v>
      </c>
      <c r="D44" t="s">
        <v>20</v>
      </c>
      <c r="E44">
        <v>112309</v>
      </c>
      <c r="F44" t="s">
        <v>220</v>
      </c>
      <c r="G44" t="s">
        <v>89</v>
      </c>
      <c r="H44" t="s">
        <v>221</v>
      </c>
      <c r="I44" t="s">
        <v>222</v>
      </c>
    </row>
    <row r="45" spans="1:12" x14ac:dyDescent="0.35">
      <c r="A45" s="18" t="s">
        <v>223</v>
      </c>
      <c r="B45" t="s">
        <v>37</v>
      </c>
      <c r="C45" t="s">
        <v>11</v>
      </c>
      <c r="D45" t="s">
        <v>27</v>
      </c>
      <c r="E45">
        <v>111511</v>
      </c>
      <c r="F45" t="s">
        <v>224</v>
      </c>
      <c r="G45" t="s">
        <v>58</v>
      </c>
      <c r="H45" t="s">
        <v>225</v>
      </c>
      <c r="I45" t="s">
        <v>226</v>
      </c>
    </row>
    <row r="46" spans="1:12" x14ac:dyDescent="0.35">
      <c r="A46" s="18" t="s">
        <v>227</v>
      </c>
      <c r="B46" t="s">
        <v>228</v>
      </c>
      <c r="C46" t="s">
        <v>56</v>
      </c>
      <c r="D46" t="s">
        <v>12</v>
      </c>
      <c r="E46">
        <v>87795</v>
      </c>
      <c r="F46" t="s">
        <v>229</v>
      </c>
      <c r="G46" t="s">
        <v>58</v>
      </c>
      <c r="H46" t="s">
        <v>230</v>
      </c>
      <c r="I46" t="s">
        <v>231</v>
      </c>
    </row>
    <row r="47" spans="1:12" x14ac:dyDescent="0.35">
      <c r="A47" s="18" t="s">
        <v>232</v>
      </c>
      <c r="B47" t="s">
        <v>233</v>
      </c>
      <c r="C47" t="s">
        <v>19</v>
      </c>
      <c r="D47" t="s">
        <v>20</v>
      </c>
      <c r="E47">
        <v>60257</v>
      </c>
      <c r="F47" t="s">
        <v>234</v>
      </c>
      <c r="G47" t="s">
        <v>14</v>
      </c>
      <c r="H47" t="s">
        <v>235</v>
      </c>
      <c r="I47" t="s">
        <v>236</v>
      </c>
    </row>
    <row r="48" spans="1:12" x14ac:dyDescent="0.35">
      <c r="A48" s="18" t="s">
        <v>237</v>
      </c>
      <c r="B48" t="s">
        <v>238</v>
      </c>
      <c r="C48" t="s">
        <v>108</v>
      </c>
      <c r="D48" t="s">
        <v>12</v>
      </c>
      <c r="E48">
        <v>93964</v>
      </c>
      <c r="F48" t="s">
        <v>239</v>
      </c>
      <c r="G48" t="s">
        <v>14</v>
      </c>
      <c r="H48" t="s">
        <v>240</v>
      </c>
      <c r="I48" t="s">
        <v>241</v>
      </c>
    </row>
    <row r="49" spans="1:9" x14ac:dyDescent="0.35">
      <c r="A49" s="18" t="s">
        <v>242</v>
      </c>
      <c r="B49" t="s">
        <v>243</v>
      </c>
      <c r="C49" t="s">
        <v>56</v>
      </c>
      <c r="D49" t="s">
        <v>20</v>
      </c>
      <c r="E49">
        <v>69154</v>
      </c>
      <c r="F49" t="s">
        <v>244</v>
      </c>
      <c r="G49" t="s">
        <v>89</v>
      </c>
      <c r="H49" t="s">
        <v>245</v>
      </c>
      <c r="I49" t="s">
        <v>246</v>
      </c>
    </row>
    <row r="50" spans="1:9" x14ac:dyDescent="0.35">
      <c r="A50" s="18" t="s">
        <v>247</v>
      </c>
      <c r="B50" t="s">
        <v>248</v>
      </c>
      <c r="C50" t="s">
        <v>56</v>
      </c>
      <c r="D50" t="s">
        <v>27</v>
      </c>
      <c r="E50">
        <v>92227</v>
      </c>
      <c r="F50" t="s">
        <v>249</v>
      </c>
      <c r="G50" t="s">
        <v>58</v>
      </c>
      <c r="H50" t="s">
        <v>250</v>
      </c>
      <c r="I50" t="s">
        <v>251</v>
      </c>
    </row>
    <row r="51" spans="1:9" x14ac:dyDescent="0.35">
      <c r="A51" s="18" t="s">
        <v>252</v>
      </c>
      <c r="B51" t="s">
        <v>253</v>
      </c>
      <c r="C51" t="s">
        <v>11</v>
      </c>
      <c r="D51" t="s">
        <v>119</v>
      </c>
      <c r="E51">
        <v>92386</v>
      </c>
      <c r="F51" t="s">
        <v>254</v>
      </c>
      <c r="G51" t="s">
        <v>41</v>
      </c>
      <c r="H51" t="s">
        <v>255</v>
      </c>
      <c r="I51" t="s">
        <v>256</v>
      </c>
    </row>
    <row r="52" spans="1:9" x14ac:dyDescent="0.35">
      <c r="A52" s="18" t="s">
        <v>257</v>
      </c>
      <c r="B52" t="s">
        <v>98</v>
      </c>
      <c r="C52" t="s">
        <v>108</v>
      </c>
      <c r="D52" t="s">
        <v>119</v>
      </c>
      <c r="E52">
        <v>74795</v>
      </c>
      <c r="F52" t="s">
        <v>258</v>
      </c>
      <c r="G52" t="s">
        <v>22</v>
      </c>
      <c r="H52" t="s">
        <v>259</v>
      </c>
      <c r="I52" t="s">
        <v>260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E43A-EB58-44F5-836B-B0A6E346F330}">
  <dimension ref="A1:V15"/>
  <sheetViews>
    <sheetView workbookViewId="0">
      <selection activeCell="D17" sqref="D17"/>
    </sheetView>
  </sheetViews>
  <sheetFormatPr defaultRowHeight="14.5" x14ac:dyDescent="0.35"/>
  <cols>
    <col min="1" max="1" width="13.81640625" bestFit="1" customWidth="1"/>
    <col min="2" max="2" width="13.1796875" bestFit="1" customWidth="1"/>
    <col min="3" max="3" width="12.36328125" bestFit="1" customWidth="1"/>
    <col min="4" max="4" width="10.54296875" bestFit="1" customWidth="1"/>
    <col min="5" max="5" width="12.36328125" bestFit="1" customWidth="1"/>
    <col min="6" max="7" width="12.08984375" bestFit="1" customWidth="1"/>
    <col min="8" max="8" width="12.36328125" bestFit="1" customWidth="1"/>
    <col min="9" max="9" width="9.7265625" bestFit="1" customWidth="1"/>
    <col min="10" max="10" width="12.08984375" bestFit="1" customWidth="1"/>
    <col min="11" max="12" width="13.1796875" bestFit="1" customWidth="1"/>
    <col min="13" max="13" width="9.7265625" bestFit="1" customWidth="1"/>
    <col min="14" max="14" width="12.36328125" bestFit="1" customWidth="1"/>
    <col min="15" max="15" width="10.54296875" bestFit="1" customWidth="1"/>
    <col min="16" max="16" width="13.1796875" bestFit="1" customWidth="1"/>
    <col min="17" max="17" width="12.08984375" bestFit="1" customWidth="1"/>
    <col min="18" max="18" width="13.1796875" bestFit="1" customWidth="1"/>
    <col min="20" max="20" width="8.81640625" bestFit="1" customWidth="1"/>
    <col min="21" max="21" width="10.54296875" bestFit="1" customWidth="1"/>
    <col min="22" max="22" width="9.36328125" bestFit="1" customWidth="1"/>
  </cols>
  <sheetData>
    <row r="1" spans="1:22" x14ac:dyDescent="0.35">
      <c r="A1" s="12" t="s">
        <v>291</v>
      </c>
      <c r="B1" t="s">
        <v>333</v>
      </c>
      <c r="C1" t="s">
        <v>389</v>
      </c>
      <c r="D1" t="s">
        <v>327</v>
      </c>
      <c r="E1" t="s">
        <v>417</v>
      </c>
      <c r="F1" t="s">
        <v>365</v>
      </c>
      <c r="G1" t="s">
        <v>343</v>
      </c>
      <c r="H1" t="s">
        <v>305</v>
      </c>
      <c r="I1" t="s">
        <v>330</v>
      </c>
      <c r="J1" t="s">
        <v>356</v>
      </c>
      <c r="K1" t="s">
        <v>310</v>
      </c>
      <c r="L1" t="s">
        <v>296</v>
      </c>
      <c r="M1" t="s">
        <v>375</v>
      </c>
      <c r="N1" t="s">
        <v>299</v>
      </c>
      <c r="O1" t="s">
        <v>302</v>
      </c>
      <c r="P1" t="s">
        <v>351</v>
      </c>
      <c r="Q1" t="s">
        <v>401</v>
      </c>
      <c r="R1" t="s">
        <v>348</v>
      </c>
      <c r="S1" t="s">
        <v>354</v>
      </c>
      <c r="T1" t="s">
        <v>317</v>
      </c>
      <c r="U1" t="s">
        <v>322</v>
      </c>
      <c r="V1" t="s">
        <v>340</v>
      </c>
    </row>
    <row r="2" spans="1:22" x14ac:dyDescent="0.35">
      <c r="A2" s="12" t="s">
        <v>666</v>
      </c>
      <c r="B2" t="s">
        <v>667</v>
      </c>
      <c r="C2" t="s">
        <v>668</v>
      </c>
      <c r="D2" t="s">
        <v>667</v>
      </c>
      <c r="E2" t="s">
        <v>669</v>
      </c>
      <c r="F2" t="s">
        <v>670</v>
      </c>
      <c r="G2" t="s">
        <v>670</v>
      </c>
      <c r="H2" t="s">
        <v>671</v>
      </c>
      <c r="I2" t="s">
        <v>672</v>
      </c>
      <c r="J2" t="s">
        <v>669</v>
      </c>
      <c r="K2" t="s">
        <v>673</v>
      </c>
      <c r="L2" t="s">
        <v>672</v>
      </c>
      <c r="M2" t="s">
        <v>669</v>
      </c>
      <c r="N2" t="s">
        <v>669</v>
      </c>
      <c r="O2" t="s">
        <v>670</v>
      </c>
      <c r="P2" t="s">
        <v>674</v>
      </c>
      <c r="Q2" t="s">
        <v>668</v>
      </c>
      <c r="R2" t="s">
        <v>673</v>
      </c>
      <c r="S2" t="s">
        <v>667</v>
      </c>
      <c r="T2" t="s">
        <v>674</v>
      </c>
      <c r="U2" t="s">
        <v>671</v>
      </c>
      <c r="V2" t="s">
        <v>672</v>
      </c>
    </row>
    <row r="3" spans="1:22" x14ac:dyDescent="0.35">
      <c r="A3" s="12" t="s">
        <v>675</v>
      </c>
      <c r="B3" t="s">
        <v>676</v>
      </c>
      <c r="C3" t="s">
        <v>677</v>
      </c>
      <c r="D3" t="s">
        <v>677</v>
      </c>
      <c r="E3" t="s">
        <v>678</v>
      </c>
      <c r="F3" t="s">
        <v>677</v>
      </c>
      <c r="G3" t="s">
        <v>678</v>
      </c>
      <c r="H3" t="s">
        <v>677</v>
      </c>
      <c r="I3" t="s">
        <v>678</v>
      </c>
      <c r="J3" t="s">
        <v>679</v>
      </c>
      <c r="K3" t="s">
        <v>676</v>
      </c>
      <c r="L3" t="s">
        <v>676</v>
      </c>
      <c r="M3" t="s">
        <v>678</v>
      </c>
      <c r="N3" t="s">
        <v>677</v>
      </c>
      <c r="O3" t="s">
        <v>679</v>
      </c>
      <c r="P3" t="s">
        <v>676</v>
      </c>
      <c r="Q3" t="s">
        <v>678</v>
      </c>
      <c r="R3" t="s">
        <v>676</v>
      </c>
      <c r="S3" t="s">
        <v>679</v>
      </c>
      <c r="T3" t="s">
        <v>679</v>
      </c>
      <c r="U3" t="s">
        <v>677</v>
      </c>
      <c r="V3" t="s">
        <v>677</v>
      </c>
    </row>
    <row r="4" spans="1:22" x14ac:dyDescent="0.35">
      <c r="A4" s="12" t="s">
        <v>680</v>
      </c>
      <c r="B4">
        <v>410</v>
      </c>
      <c r="C4">
        <v>160</v>
      </c>
      <c r="D4">
        <v>489</v>
      </c>
      <c r="E4">
        <v>234</v>
      </c>
      <c r="F4">
        <v>196</v>
      </c>
      <c r="G4">
        <v>593</v>
      </c>
      <c r="H4">
        <v>428</v>
      </c>
      <c r="I4">
        <v>209</v>
      </c>
      <c r="J4">
        <v>727</v>
      </c>
      <c r="K4">
        <v>270</v>
      </c>
      <c r="L4">
        <v>744</v>
      </c>
      <c r="M4">
        <v>275</v>
      </c>
      <c r="N4">
        <v>190</v>
      </c>
      <c r="O4">
        <v>490</v>
      </c>
      <c r="P4">
        <v>123</v>
      </c>
      <c r="Q4">
        <v>370</v>
      </c>
      <c r="R4">
        <v>167</v>
      </c>
      <c r="S4">
        <v>756</v>
      </c>
      <c r="T4">
        <v>653</v>
      </c>
      <c r="U4">
        <v>391</v>
      </c>
      <c r="V4">
        <v>407</v>
      </c>
    </row>
    <row r="5" spans="1:22" x14ac:dyDescent="0.35">
      <c r="A5" s="12" t="s">
        <v>681</v>
      </c>
      <c r="B5">
        <v>312</v>
      </c>
      <c r="C5">
        <v>817</v>
      </c>
      <c r="D5">
        <v>1248</v>
      </c>
      <c r="E5">
        <v>659</v>
      </c>
      <c r="F5">
        <v>1259</v>
      </c>
      <c r="G5">
        <v>540</v>
      </c>
      <c r="H5">
        <v>738</v>
      </c>
      <c r="I5">
        <v>422</v>
      </c>
      <c r="J5">
        <v>968</v>
      </c>
      <c r="K5">
        <v>1149</v>
      </c>
      <c r="L5">
        <v>1489</v>
      </c>
      <c r="M5">
        <v>909</v>
      </c>
      <c r="N5">
        <v>623</v>
      </c>
      <c r="O5">
        <v>459</v>
      </c>
      <c r="P5">
        <v>913</v>
      </c>
      <c r="Q5">
        <v>1279</v>
      </c>
      <c r="R5">
        <v>929</v>
      </c>
      <c r="S5">
        <v>841</v>
      </c>
      <c r="T5">
        <v>920</v>
      </c>
      <c r="U5">
        <v>444</v>
      </c>
      <c r="V5">
        <v>819</v>
      </c>
    </row>
    <row r="6" spans="1:22" x14ac:dyDescent="0.35">
      <c r="A6" s="12" t="s">
        <v>682</v>
      </c>
      <c r="B6" t="s">
        <v>683</v>
      </c>
      <c r="C6" t="s">
        <v>684</v>
      </c>
      <c r="D6" t="s">
        <v>685</v>
      </c>
      <c r="E6" t="s">
        <v>684</v>
      </c>
      <c r="F6" t="s">
        <v>686</v>
      </c>
      <c r="G6" t="s">
        <v>686</v>
      </c>
      <c r="H6" t="s">
        <v>684</v>
      </c>
      <c r="I6" t="s">
        <v>685</v>
      </c>
      <c r="J6" t="s">
        <v>686</v>
      </c>
      <c r="K6" t="s">
        <v>685</v>
      </c>
      <c r="L6" t="s">
        <v>686</v>
      </c>
      <c r="M6" t="s">
        <v>685</v>
      </c>
      <c r="N6" t="s">
        <v>684</v>
      </c>
      <c r="O6" t="s">
        <v>683</v>
      </c>
      <c r="P6" t="s">
        <v>685</v>
      </c>
      <c r="Q6" t="s">
        <v>686</v>
      </c>
      <c r="R6" t="s">
        <v>685</v>
      </c>
      <c r="S6" t="s">
        <v>685</v>
      </c>
      <c r="T6" t="s">
        <v>685</v>
      </c>
      <c r="U6" t="s">
        <v>685</v>
      </c>
      <c r="V6" t="s">
        <v>683</v>
      </c>
    </row>
    <row r="7" spans="1:22" x14ac:dyDescent="0.35">
      <c r="A7" s="12" t="s">
        <v>687</v>
      </c>
      <c r="B7">
        <v>49</v>
      </c>
      <c r="C7">
        <v>39</v>
      </c>
      <c r="D7">
        <v>165</v>
      </c>
      <c r="E7">
        <v>96</v>
      </c>
      <c r="F7">
        <v>27</v>
      </c>
      <c r="G7">
        <v>117</v>
      </c>
      <c r="H7">
        <v>155</v>
      </c>
      <c r="I7">
        <v>182</v>
      </c>
      <c r="J7">
        <v>165</v>
      </c>
      <c r="K7">
        <v>98</v>
      </c>
      <c r="L7">
        <v>144</v>
      </c>
      <c r="M7">
        <v>11</v>
      </c>
      <c r="N7">
        <v>93</v>
      </c>
      <c r="O7">
        <v>107</v>
      </c>
      <c r="P7">
        <v>121</v>
      </c>
      <c r="Q7">
        <v>156</v>
      </c>
      <c r="R7">
        <v>93</v>
      </c>
      <c r="S7">
        <v>121</v>
      </c>
      <c r="T7">
        <v>111</v>
      </c>
      <c r="U7">
        <v>140</v>
      </c>
      <c r="V7">
        <v>70</v>
      </c>
    </row>
    <row r="8" spans="1:22" x14ac:dyDescent="0.35">
      <c r="A8" s="12" t="s">
        <v>688</v>
      </c>
      <c r="B8" t="s">
        <v>689</v>
      </c>
      <c r="C8" t="s">
        <v>690</v>
      </c>
      <c r="D8" t="s">
        <v>689</v>
      </c>
      <c r="E8" t="s">
        <v>690</v>
      </c>
      <c r="F8" t="s">
        <v>691</v>
      </c>
      <c r="G8" t="s">
        <v>690</v>
      </c>
      <c r="H8" t="s">
        <v>689</v>
      </c>
      <c r="I8" t="s">
        <v>691</v>
      </c>
      <c r="J8" t="s">
        <v>690</v>
      </c>
      <c r="K8" t="s">
        <v>690</v>
      </c>
      <c r="L8" t="s">
        <v>689</v>
      </c>
      <c r="M8" t="s">
        <v>691</v>
      </c>
      <c r="N8" t="s">
        <v>691</v>
      </c>
      <c r="O8" t="s">
        <v>689</v>
      </c>
      <c r="P8" t="s">
        <v>691</v>
      </c>
      <c r="Q8" t="s">
        <v>690</v>
      </c>
      <c r="R8" t="s">
        <v>691</v>
      </c>
      <c r="S8" t="s">
        <v>691</v>
      </c>
      <c r="T8" t="s">
        <v>690</v>
      </c>
      <c r="U8" t="s">
        <v>689</v>
      </c>
      <c r="V8" t="s">
        <v>691</v>
      </c>
    </row>
    <row r="10" spans="1:22" x14ac:dyDescent="0.35">
      <c r="A10" t="s">
        <v>692</v>
      </c>
    </row>
    <row r="12" spans="1:22" x14ac:dyDescent="0.35">
      <c r="A12">
        <f>HLOOKUP("P102",A1:V8, 4, FALSE)</f>
        <v>489</v>
      </c>
    </row>
    <row r="13" spans="1:22" x14ac:dyDescent="0.35">
      <c r="A13" t="s">
        <v>693</v>
      </c>
    </row>
    <row r="15" spans="1:22" x14ac:dyDescent="0.35">
      <c r="A15">
        <f>HLOOKUP(J1, A1:V8, 7, FALSE)</f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F5E9-108D-4286-A7A8-85B2A7CC7B39}">
  <dimension ref="A1:I201"/>
  <sheetViews>
    <sheetView workbookViewId="0">
      <selection activeCell="I2" sqref="I2:I201"/>
    </sheetView>
  </sheetViews>
  <sheetFormatPr defaultRowHeight="14.5" x14ac:dyDescent="0.35"/>
  <cols>
    <col min="1" max="1" width="13.54296875" bestFit="1" customWidth="1"/>
    <col min="2" max="2" width="15.7265625" bestFit="1" customWidth="1"/>
    <col min="3" max="3" width="11.81640625" bestFit="1" customWidth="1"/>
    <col min="4" max="4" width="12.7265625" bestFit="1" customWidth="1"/>
    <col min="5" max="5" width="8.1796875" bestFit="1" customWidth="1"/>
    <col min="6" max="6" width="9.453125" bestFit="1" customWidth="1"/>
    <col min="7" max="7" width="15" bestFit="1" customWidth="1"/>
    <col min="8" max="9" width="11.08984375" bestFit="1" customWidth="1"/>
  </cols>
  <sheetData>
    <row r="1" spans="1:9" x14ac:dyDescent="0.35">
      <c r="A1" s="12" t="s">
        <v>289</v>
      </c>
      <c r="B1" s="12" t="s">
        <v>290</v>
      </c>
      <c r="C1" s="12" t="s">
        <v>0</v>
      </c>
      <c r="D1" s="12" t="s">
        <v>291</v>
      </c>
      <c r="E1" s="12" t="s">
        <v>292</v>
      </c>
      <c r="F1" s="12" t="s">
        <v>293</v>
      </c>
      <c r="G1" s="1" t="s">
        <v>1</v>
      </c>
      <c r="H1" s="1" t="s">
        <v>2</v>
      </c>
      <c r="I1" s="1" t="s">
        <v>3</v>
      </c>
    </row>
    <row r="2" spans="1:9" x14ac:dyDescent="0.35">
      <c r="A2" t="s">
        <v>294</v>
      </c>
      <c r="B2" t="s">
        <v>295</v>
      </c>
      <c r="C2" t="s">
        <v>242</v>
      </c>
      <c r="D2" t="s">
        <v>296</v>
      </c>
      <c r="E2">
        <v>7</v>
      </c>
      <c r="F2">
        <v>1299</v>
      </c>
      <c r="G2" t="str">
        <f>IFERROR(VLOOKUP(C2, Employees!A:I, 2, FALSE), "Not Found")</f>
        <v>Sarah Miller</v>
      </c>
      <c r="H2" t="str">
        <f>IFERROR(VLOOKUP(C2, Employees!A:I, 3, FALSE), "Not Found")</f>
        <v>Sales</v>
      </c>
      <c r="I2" t="str">
        <f>IFERROR(VLOOKUP(C2,Employees!A:I, 4, FALSE), "NOT FOUND")</f>
        <v>Coordinator</v>
      </c>
    </row>
    <row r="3" spans="1:9" x14ac:dyDescent="0.35">
      <c r="A3" t="s">
        <v>297</v>
      </c>
      <c r="B3" t="s">
        <v>298</v>
      </c>
      <c r="C3" t="s">
        <v>54</v>
      </c>
      <c r="D3" t="s">
        <v>299</v>
      </c>
      <c r="E3">
        <v>10</v>
      </c>
      <c r="F3">
        <v>499</v>
      </c>
      <c r="G3" t="str">
        <f>IFERROR(VLOOKUP(C3, Employees!A:I, 2, FALSE), "Not Found")</f>
        <v>Sarah Brown</v>
      </c>
      <c r="H3" t="str">
        <f>IFERROR(VLOOKUP(C3, Employees!A:I, 3, FALSE), "Not Found")</f>
        <v>Sales</v>
      </c>
      <c r="I3" t="str">
        <f>IFERROR(VLOOKUP(C3,Employees!A:I, 4, FALSE), "NOT FOUND")</f>
        <v>Coordinator</v>
      </c>
    </row>
    <row r="4" spans="1:9" x14ac:dyDescent="0.35">
      <c r="A4" t="s">
        <v>300</v>
      </c>
      <c r="B4" t="s">
        <v>301</v>
      </c>
      <c r="C4" t="s">
        <v>25</v>
      </c>
      <c r="D4" t="s">
        <v>302</v>
      </c>
      <c r="E4">
        <v>1</v>
      </c>
      <c r="F4">
        <v>1299</v>
      </c>
      <c r="G4" t="str">
        <f>IFERROR(VLOOKUP(C4, Employees!A:I, 2, FALSE), "Not Found")</f>
        <v>William Smith</v>
      </c>
      <c r="H4" t="str">
        <f>IFERROR(VLOOKUP(C4, Employees!A:I, 3, FALSE), "Not Found")</f>
        <v>Finance</v>
      </c>
      <c r="I4" t="str">
        <f>IFERROR(VLOOKUP(C4,Employees!A:I, 4, FALSE), "NOT FOUND")</f>
        <v>Manager</v>
      </c>
    </row>
    <row r="5" spans="1:9" x14ac:dyDescent="0.35">
      <c r="A5" t="s">
        <v>303</v>
      </c>
      <c r="B5" t="s">
        <v>304</v>
      </c>
      <c r="C5" t="s">
        <v>227</v>
      </c>
      <c r="D5" t="s">
        <v>305</v>
      </c>
      <c r="E5">
        <v>6</v>
      </c>
      <c r="F5">
        <v>999</v>
      </c>
      <c r="G5" t="str">
        <f>IFERROR(VLOOKUP(C5, Employees!A:I, 2, FALSE), "Not Found")</f>
        <v>Robert Williams</v>
      </c>
      <c r="H5" t="str">
        <f>IFERROR(VLOOKUP(C5, Employees!A:I, 3, FALSE), "Not Found")</f>
        <v>Sales</v>
      </c>
      <c r="I5" t="str">
        <f>IFERROR(VLOOKUP(C5,Employees!A:I, 4, FALSE), "NOT FOUND")</f>
        <v>Specialist</v>
      </c>
    </row>
    <row r="6" spans="1:9" x14ac:dyDescent="0.35">
      <c r="A6" t="s">
        <v>306</v>
      </c>
      <c r="B6" t="s">
        <v>307</v>
      </c>
      <c r="C6" t="s">
        <v>223</v>
      </c>
      <c r="D6" t="s">
        <v>296</v>
      </c>
      <c r="E6">
        <v>10</v>
      </c>
      <c r="F6">
        <v>799</v>
      </c>
      <c r="G6" t="str">
        <f>IFERROR(VLOOKUP(C6, Employees!A:I, 2, FALSE), "Not Found")</f>
        <v>Sarah Johnson</v>
      </c>
      <c r="H6" t="str">
        <f>IFERROR(VLOOKUP(C6, Employees!A:I, 3, FALSE), "Not Found")</f>
        <v>Operations</v>
      </c>
      <c r="I6" t="str">
        <f>IFERROR(VLOOKUP(C6,Employees!A:I, 4, FALSE), "NOT FOUND")</f>
        <v>Manager</v>
      </c>
    </row>
    <row r="7" spans="1:9" x14ac:dyDescent="0.35">
      <c r="A7" t="s">
        <v>308</v>
      </c>
      <c r="B7" t="s">
        <v>309</v>
      </c>
      <c r="C7" t="s">
        <v>242</v>
      </c>
      <c r="D7" t="s">
        <v>310</v>
      </c>
      <c r="E7">
        <v>9</v>
      </c>
      <c r="F7">
        <v>799</v>
      </c>
      <c r="G7" t="str">
        <f>IFERROR(VLOOKUP(C7, Employees!A:I, 2, FALSE), "Not Found")</f>
        <v>Sarah Miller</v>
      </c>
      <c r="H7" t="str">
        <f>IFERROR(VLOOKUP(C7, Employees!A:I, 3, FALSE), "Not Found")</f>
        <v>Sales</v>
      </c>
      <c r="I7" t="str">
        <f>IFERROR(VLOOKUP(C7,Employees!A:I, 4, FALSE), "NOT FOUND")</f>
        <v>Coordinator</v>
      </c>
    </row>
    <row r="8" spans="1:9" x14ac:dyDescent="0.35">
      <c r="A8" t="s">
        <v>311</v>
      </c>
      <c r="B8" t="s">
        <v>312</v>
      </c>
      <c r="C8" t="s">
        <v>123</v>
      </c>
      <c r="D8" t="s">
        <v>299</v>
      </c>
      <c r="E8">
        <v>5</v>
      </c>
      <c r="F8">
        <v>1299</v>
      </c>
      <c r="G8" t="str">
        <f>IFERROR(VLOOKUP(C8, Employees!A:I, 2, FALSE), "Not Found")</f>
        <v>David Miller</v>
      </c>
      <c r="H8" t="str">
        <f>IFERROR(VLOOKUP(C8, Employees!A:I, 3, FALSE), "Not Found")</f>
        <v>Marketing</v>
      </c>
      <c r="I8" t="str">
        <f>IFERROR(VLOOKUP(C8,Employees!A:I, 4, FALSE), "NOT FOUND")</f>
        <v>Director</v>
      </c>
    </row>
    <row r="9" spans="1:9" x14ac:dyDescent="0.35">
      <c r="A9" t="s">
        <v>313</v>
      </c>
      <c r="B9" t="s">
        <v>314</v>
      </c>
      <c r="C9" t="s">
        <v>82</v>
      </c>
      <c r="D9" t="s">
        <v>302</v>
      </c>
      <c r="E9">
        <v>7</v>
      </c>
      <c r="F9">
        <v>1499</v>
      </c>
      <c r="G9" t="str">
        <f>IFERROR(VLOOKUP(C9, Employees!A:I, 2, FALSE), "Not Found")</f>
        <v>David Miller</v>
      </c>
      <c r="H9" t="str">
        <f>IFERROR(VLOOKUP(C9, Employees!A:I, 3, FALSE), "Not Found")</f>
        <v>Finance</v>
      </c>
      <c r="I9" t="str">
        <f>IFERROR(VLOOKUP(C9,Employees!A:I, 4, FALSE), "NOT FOUND")</f>
        <v>Coordinator</v>
      </c>
    </row>
    <row r="10" spans="1:9" x14ac:dyDescent="0.35">
      <c r="A10" t="s">
        <v>315</v>
      </c>
      <c r="B10" t="s">
        <v>316</v>
      </c>
      <c r="C10" t="s">
        <v>210</v>
      </c>
      <c r="D10" t="s">
        <v>317</v>
      </c>
      <c r="E10">
        <v>5</v>
      </c>
      <c r="F10">
        <v>999</v>
      </c>
      <c r="G10" t="str">
        <f>IFERROR(VLOOKUP(C10, Employees!A:I, 2, FALSE), "Not Found")</f>
        <v>Jessica Brown</v>
      </c>
      <c r="H10" t="str">
        <f>IFERROR(VLOOKUP(C10, Employees!A:I, 3, FALSE), "Not Found")</f>
        <v>Operations</v>
      </c>
      <c r="I10" t="str">
        <f>IFERROR(VLOOKUP(C10,Employees!A:I, 4, FALSE), "NOT FOUND")</f>
        <v>Specialist</v>
      </c>
    </row>
    <row r="11" spans="1:9" x14ac:dyDescent="0.35">
      <c r="A11" t="s">
        <v>318</v>
      </c>
      <c r="B11" t="s">
        <v>319</v>
      </c>
      <c r="C11" t="s">
        <v>9</v>
      </c>
      <c r="D11" t="s">
        <v>310</v>
      </c>
      <c r="E11">
        <v>5</v>
      </c>
      <c r="F11">
        <v>499</v>
      </c>
      <c r="G11" t="str">
        <f>IFERROR(VLOOKUP(C11, Employees!A:I, 2, FALSE), "Not Found")</f>
        <v>Sarah Smith</v>
      </c>
      <c r="H11" t="str">
        <f>IFERROR(VLOOKUP(C11, Employees!A:I, 3, FALSE), "Not Found")</f>
        <v>Operations</v>
      </c>
      <c r="I11" t="str">
        <f>IFERROR(VLOOKUP(C11,Employees!A:I, 4, FALSE), "NOT FOUND")</f>
        <v>Specialist</v>
      </c>
    </row>
    <row r="12" spans="1:9" x14ac:dyDescent="0.35">
      <c r="A12" t="s">
        <v>320</v>
      </c>
      <c r="B12" t="s">
        <v>321</v>
      </c>
      <c r="C12" t="s">
        <v>200</v>
      </c>
      <c r="D12" t="s">
        <v>322</v>
      </c>
      <c r="E12">
        <v>6</v>
      </c>
      <c r="F12">
        <v>999</v>
      </c>
      <c r="G12" t="str">
        <f>IFERROR(VLOOKUP(C12, Employees!A:I, 2, FALSE), "Not Found")</f>
        <v>David Williams</v>
      </c>
      <c r="H12" t="str">
        <f>IFERROR(VLOOKUP(C12, Employees!A:I, 3, FALSE), "Not Found")</f>
        <v>HR</v>
      </c>
      <c r="I12" t="str">
        <f>IFERROR(VLOOKUP(C12,Employees!A:I, 4, FALSE), "NOT FOUND")</f>
        <v>Director</v>
      </c>
    </row>
    <row r="13" spans="1:9" x14ac:dyDescent="0.35">
      <c r="A13" t="s">
        <v>323</v>
      </c>
      <c r="B13" t="s">
        <v>324</v>
      </c>
      <c r="C13" t="s">
        <v>158</v>
      </c>
      <c r="D13" t="s">
        <v>305</v>
      </c>
      <c r="E13">
        <v>9</v>
      </c>
      <c r="F13">
        <v>999</v>
      </c>
      <c r="G13" t="str">
        <f>IFERROR(VLOOKUP(C13, Employees!A:I, 2, FALSE), "Not Found")</f>
        <v>John Johnson</v>
      </c>
      <c r="H13" t="str">
        <f>IFERROR(VLOOKUP(C13, Employees!A:I, 3, FALSE), "Not Found")</f>
        <v>Marketing</v>
      </c>
      <c r="I13" t="str">
        <f>IFERROR(VLOOKUP(C13,Employees!A:I, 4, FALSE), "NOT FOUND")</f>
        <v>Manager</v>
      </c>
    </row>
    <row r="14" spans="1:9" x14ac:dyDescent="0.35">
      <c r="A14" t="s">
        <v>325</v>
      </c>
      <c r="B14" t="s">
        <v>326</v>
      </c>
      <c r="C14" t="s">
        <v>223</v>
      </c>
      <c r="D14" t="s">
        <v>327</v>
      </c>
      <c r="E14">
        <v>5</v>
      </c>
      <c r="F14">
        <v>1299</v>
      </c>
      <c r="G14" t="str">
        <f>IFERROR(VLOOKUP(C14, Employees!A:I, 2, FALSE), "Not Found")</f>
        <v>Sarah Johnson</v>
      </c>
      <c r="H14" t="str">
        <f>IFERROR(VLOOKUP(C14, Employees!A:I, 3, FALSE), "Not Found")</f>
        <v>Operations</v>
      </c>
      <c r="I14" t="str">
        <f>IFERROR(VLOOKUP(C14,Employees!A:I, 4, FALSE), "NOT FOUND")</f>
        <v>Manager</v>
      </c>
    </row>
    <row r="15" spans="1:9" x14ac:dyDescent="0.35">
      <c r="A15" t="s">
        <v>328</v>
      </c>
      <c r="B15" t="s">
        <v>329</v>
      </c>
      <c r="C15" t="s">
        <v>44</v>
      </c>
      <c r="D15" t="s">
        <v>330</v>
      </c>
      <c r="E15">
        <v>5</v>
      </c>
      <c r="F15">
        <v>499</v>
      </c>
      <c r="G15" t="str">
        <f>IFERROR(VLOOKUP(C15, Employees!A:I, 2, FALSE), "Not Found")</f>
        <v>Jennifer Johnson</v>
      </c>
      <c r="H15" t="str">
        <f>IFERROR(VLOOKUP(C15, Employees!A:I, 3, FALSE), "Not Found")</f>
        <v>HR</v>
      </c>
      <c r="I15" t="str">
        <f>IFERROR(VLOOKUP(C15,Employees!A:I, 4, FALSE), "NOT FOUND")</f>
        <v>Analyst</v>
      </c>
    </row>
    <row r="16" spans="1:9" x14ac:dyDescent="0.35">
      <c r="A16" t="s">
        <v>331</v>
      </c>
      <c r="B16" t="s">
        <v>332</v>
      </c>
      <c r="C16" t="s">
        <v>66</v>
      </c>
      <c r="D16" t="s">
        <v>333</v>
      </c>
      <c r="E16">
        <v>1</v>
      </c>
      <c r="F16">
        <v>499</v>
      </c>
      <c r="G16" t="str">
        <f>IFERROR(VLOOKUP(C16, Employees!A:I, 2, FALSE), "Not Found")</f>
        <v>Michael Davis</v>
      </c>
      <c r="H16" t="str">
        <f>IFERROR(VLOOKUP(C16, Employees!A:I, 3, FALSE), "Not Found")</f>
        <v>HR</v>
      </c>
      <c r="I16" t="str">
        <f>IFERROR(VLOOKUP(C16,Employees!A:I, 4, FALSE), "NOT FOUND")</f>
        <v>Specialist</v>
      </c>
    </row>
    <row r="17" spans="1:9" x14ac:dyDescent="0.35">
      <c r="A17" t="s">
        <v>334</v>
      </c>
      <c r="B17" t="s">
        <v>335</v>
      </c>
      <c r="C17" t="s">
        <v>210</v>
      </c>
      <c r="D17" t="s">
        <v>327</v>
      </c>
      <c r="E17">
        <v>8</v>
      </c>
      <c r="F17">
        <v>999</v>
      </c>
      <c r="G17" t="str">
        <f>IFERROR(VLOOKUP(C17, Employees!A:I, 2, FALSE), "Not Found")</f>
        <v>Jessica Brown</v>
      </c>
      <c r="H17" t="str">
        <f>IFERROR(VLOOKUP(C17, Employees!A:I, 3, FALSE), "Not Found")</f>
        <v>Operations</v>
      </c>
      <c r="I17" t="str">
        <f>IFERROR(VLOOKUP(C17,Employees!A:I, 4, FALSE), "NOT FOUND")</f>
        <v>Specialist</v>
      </c>
    </row>
    <row r="18" spans="1:9" x14ac:dyDescent="0.35">
      <c r="A18" t="s">
        <v>336</v>
      </c>
      <c r="B18" t="s">
        <v>337</v>
      </c>
      <c r="C18" t="s">
        <v>82</v>
      </c>
      <c r="D18" t="s">
        <v>299</v>
      </c>
      <c r="E18">
        <v>8</v>
      </c>
      <c r="F18">
        <v>999</v>
      </c>
      <c r="G18" t="str">
        <f>IFERROR(VLOOKUP(C18, Employees!A:I, 2, FALSE), "Not Found")</f>
        <v>David Miller</v>
      </c>
      <c r="H18" t="str">
        <f>IFERROR(VLOOKUP(C18, Employees!A:I, 3, FALSE), "Not Found")</f>
        <v>Finance</v>
      </c>
      <c r="I18" t="str">
        <f>IFERROR(VLOOKUP(C18,Employees!A:I, 4, FALSE), "NOT FOUND")</f>
        <v>Coordinator</v>
      </c>
    </row>
    <row r="19" spans="1:9" x14ac:dyDescent="0.35">
      <c r="A19" t="s">
        <v>338</v>
      </c>
      <c r="B19" t="s">
        <v>339</v>
      </c>
      <c r="C19" t="s">
        <v>66</v>
      </c>
      <c r="D19" t="s">
        <v>340</v>
      </c>
      <c r="E19">
        <v>1</v>
      </c>
      <c r="F19">
        <v>299</v>
      </c>
      <c r="G19" t="str">
        <f>IFERROR(VLOOKUP(C19, Employees!A:I, 2, FALSE), "Not Found")</f>
        <v>Michael Davis</v>
      </c>
      <c r="H19" t="str">
        <f>IFERROR(VLOOKUP(C19, Employees!A:I, 3, FALSE), "Not Found")</f>
        <v>HR</v>
      </c>
      <c r="I19" t="str">
        <f>IFERROR(VLOOKUP(C19,Employees!A:I, 4, FALSE), "NOT FOUND")</f>
        <v>Specialist</v>
      </c>
    </row>
    <row r="20" spans="1:9" x14ac:dyDescent="0.35">
      <c r="A20" t="s">
        <v>341</v>
      </c>
      <c r="B20" t="s">
        <v>342</v>
      </c>
      <c r="C20" t="s">
        <v>92</v>
      </c>
      <c r="D20" t="s">
        <v>343</v>
      </c>
      <c r="E20">
        <v>9</v>
      </c>
      <c r="F20">
        <v>999</v>
      </c>
      <c r="G20" t="str">
        <f>IFERROR(VLOOKUP(C20, Employees!A:I, 2, FALSE), "Not Found")</f>
        <v>Robert Miller</v>
      </c>
      <c r="H20" t="str">
        <f>IFERROR(VLOOKUP(C20, Employees!A:I, 3, FALSE), "Not Found")</f>
        <v>Finance</v>
      </c>
      <c r="I20" t="str">
        <f>IFERROR(VLOOKUP(C20,Employees!A:I, 4, FALSE), "NOT FOUND")</f>
        <v>Coordinator</v>
      </c>
    </row>
    <row r="21" spans="1:9" x14ac:dyDescent="0.35">
      <c r="A21" t="s">
        <v>344</v>
      </c>
      <c r="B21" t="s">
        <v>345</v>
      </c>
      <c r="C21" t="s">
        <v>192</v>
      </c>
      <c r="D21" t="s">
        <v>330</v>
      </c>
      <c r="E21">
        <v>2</v>
      </c>
      <c r="F21">
        <v>999</v>
      </c>
      <c r="G21" t="str">
        <f>IFERROR(VLOOKUP(C21, Employees!A:I, 2, FALSE), "Not Found")</f>
        <v>David Davis</v>
      </c>
      <c r="H21" t="str">
        <f>IFERROR(VLOOKUP(C21, Employees!A:I, 3, FALSE), "Not Found")</f>
        <v>IT</v>
      </c>
      <c r="I21" t="str">
        <f>IFERROR(VLOOKUP(C21,Employees!A:I, 4, FALSE), "NOT FOUND")</f>
        <v>Analyst</v>
      </c>
    </row>
    <row r="22" spans="1:9" x14ac:dyDescent="0.35">
      <c r="A22" t="s">
        <v>346</v>
      </c>
      <c r="B22" t="s">
        <v>347</v>
      </c>
      <c r="C22" t="s">
        <v>163</v>
      </c>
      <c r="D22" t="s">
        <v>348</v>
      </c>
      <c r="E22">
        <v>9</v>
      </c>
      <c r="F22">
        <v>1299</v>
      </c>
      <c r="G22" t="str">
        <f>IFERROR(VLOOKUP(C22, Employees!A:I, 2, FALSE), "Not Found")</f>
        <v>John Williams</v>
      </c>
      <c r="H22" t="str">
        <f>IFERROR(VLOOKUP(C22, Employees!A:I, 3, FALSE), "Not Found")</f>
        <v>HR</v>
      </c>
      <c r="I22" t="str">
        <f>IFERROR(VLOOKUP(C22,Employees!A:I, 4, FALSE), "NOT FOUND")</f>
        <v>Analyst</v>
      </c>
    </row>
    <row r="23" spans="1:9" x14ac:dyDescent="0.35">
      <c r="A23" t="s">
        <v>349</v>
      </c>
      <c r="B23" t="s">
        <v>350</v>
      </c>
      <c r="C23" t="s">
        <v>252</v>
      </c>
      <c r="D23" t="s">
        <v>351</v>
      </c>
      <c r="E23">
        <v>10</v>
      </c>
      <c r="F23">
        <v>1499</v>
      </c>
      <c r="G23" t="str">
        <f>IFERROR(VLOOKUP(C23, Employees!A:I, 2, FALSE), "Not Found")</f>
        <v>David Garcia</v>
      </c>
      <c r="H23" t="str">
        <f>IFERROR(VLOOKUP(C23, Employees!A:I, 3, FALSE), "Not Found")</f>
        <v>Operations</v>
      </c>
      <c r="I23" t="str">
        <f>IFERROR(VLOOKUP(C23,Employees!A:I, 4, FALSE), "NOT FOUND")</f>
        <v>Director</v>
      </c>
    </row>
    <row r="24" spans="1:9" x14ac:dyDescent="0.35">
      <c r="A24" t="s">
        <v>352</v>
      </c>
      <c r="B24" t="s">
        <v>353</v>
      </c>
      <c r="C24" t="s">
        <v>153</v>
      </c>
      <c r="D24" t="s">
        <v>354</v>
      </c>
      <c r="E24">
        <v>8</v>
      </c>
      <c r="F24">
        <v>499</v>
      </c>
      <c r="G24" t="str">
        <f>IFERROR(VLOOKUP(C24, Employees!A:I, 2, FALSE), "Not Found")</f>
        <v>David Davis</v>
      </c>
      <c r="H24" t="str">
        <f>IFERROR(VLOOKUP(C24, Employees!A:I, 3, FALSE), "Not Found")</f>
        <v>Marketing</v>
      </c>
      <c r="I24" t="str">
        <f>IFERROR(VLOOKUP(C24,Employees!A:I, 4, FALSE), "NOT FOUND")</f>
        <v>Analyst</v>
      </c>
    </row>
    <row r="25" spans="1:9" x14ac:dyDescent="0.35">
      <c r="A25" t="s">
        <v>355</v>
      </c>
      <c r="B25" t="s">
        <v>335</v>
      </c>
      <c r="C25" t="s">
        <v>158</v>
      </c>
      <c r="D25" t="s">
        <v>356</v>
      </c>
      <c r="E25">
        <v>4</v>
      </c>
      <c r="F25">
        <v>1499</v>
      </c>
      <c r="G25" t="str">
        <f>IFERROR(VLOOKUP(C25, Employees!A:I, 2, FALSE), "Not Found")</f>
        <v>John Johnson</v>
      </c>
      <c r="H25" t="str">
        <f>IFERROR(VLOOKUP(C25, Employees!A:I, 3, FALSE), "Not Found")</f>
        <v>Marketing</v>
      </c>
      <c r="I25" t="str">
        <f>IFERROR(VLOOKUP(C25,Employees!A:I, 4, FALSE), "NOT FOUND")</f>
        <v>Manager</v>
      </c>
    </row>
    <row r="26" spans="1:9" x14ac:dyDescent="0.35">
      <c r="A26" t="s">
        <v>357</v>
      </c>
      <c r="B26" t="s">
        <v>358</v>
      </c>
      <c r="C26" t="s">
        <v>257</v>
      </c>
      <c r="D26" t="s">
        <v>348</v>
      </c>
      <c r="E26">
        <v>8</v>
      </c>
      <c r="F26">
        <v>1499</v>
      </c>
      <c r="G26" t="str">
        <f>IFERROR(VLOOKUP(C26, Employees!A:I, 2, FALSE), "Not Found")</f>
        <v>Sarah Jones</v>
      </c>
      <c r="H26" t="str">
        <f>IFERROR(VLOOKUP(C26, Employees!A:I, 3, FALSE), "Not Found")</f>
        <v>Marketing</v>
      </c>
      <c r="I26" t="str">
        <f>IFERROR(VLOOKUP(C26,Employees!A:I, 4, FALSE), "NOT FOUND")</f>
        <v>Director</v>
      </c>
    </row>
    <row r="27" spans="1:9" x14ac:dyDescent="0.35">
      <c r="A27" t="s">
        <v>359</v>
      </c>
      <c r="B27" t="s">
        <v>360</v>
      </c>
      <c r="C27" t="s">
        <v>107</v>
      </c>
      <c r="D27" t="s">
        <v>351</v>
      </c>
      <c r="E27">
        <v>2</v>
      </c>
      <c r="F27">
        <v>1499</v>
      </c>
      <c r="G27" t="str">
        <f>IFERROR(VLOOKUP(C27, Employees!A:I, 2, FALSE), "Not Found")</f>
        <v>Jessica Brown</v>
      </c>
      <c r="H27" t="str">
        <f>IFERROR(VLOOKUP(C27, Employees!A:I, 3, FALSE), "Not Found")</f>
        <v>Marketing</v>
      </c>
      <c r="I27" t="str">
        <f>IFERROR(VLOOKUP(C27,Employees!A:I, 4, FALSE), "NOT FOUND")</f>
        <v>Specialist</v>
      </c>
    </row>
    <row r="28" spans="1:9" x14ac:dyDescent="0.35">
      <c r="A28" t="s">
        <v>361</v>
      </c>
      <c r="B28" t="s">
        <v>362</v>
      </c>
      <c r="C28" t="s">
        <v>97</v>
      </c>
      <c r="D28" t="s">
        <v>356</v>
      </c>
      <c r="E28">
        <v>6</v>
      </c>
      <c r="F28">
        <v>799</v>
      </c>
      <c r="G28" t="str">
        <f>IFERROR(VLOOKUP(C28, Employees!A:I, 2, FALSE), "Not Found")</f>
        <v>Sarah Jones</v>
      </c>
      <c r="H28" t="str">
        <f>IFERROR(VLOOKUP(C28, Employees!A:I, 3, FALSE), "Not Found")</f>
        <v>Operations</v>
      </c>
      <c r="I28" t="str">
        <f>IFERROR(VLOOKUP(C28,Employees!A:I, 4, FALSE), "NOT FOUND")</f>
        <v>Specialist</v>
      </c>
    </row>
    <row r="29" spans="1:9" x14ac:dyDescent="0.35">
      <c r="A29" t="s">
        <v>363</v>
      </c>
      <c r="B29" t="s">
        <v>364</v>
      </c>
      <c r="C29" t="s">
        <v>44</v>
      </c>
      <c r="D29" t="s">
        <v>365</v>
      </c>
      <c r="E29">
        <v>3</v>
      </c>
      <c r="F29">
        <v>499</v>
      </c>
      <c r="G29" t="str">
        <f>IFERROR(VLOOKUP(C29, Employees!A:I, 2, FALSE), "Not Found")</f>
        <v>Jennifer Johnson</v>
      </c>
      <c r="H29" t="str">
        <f>IFERROR(VLOOKUP(C29, Employees!A:I, 3, FALSE), "Not Found")</f>
        <v>HR</v>
      </c>
      <c r="I29" t="str">
        <f>IFERROR(VLOOKUP(C29,Employees!A:I, 4, FALSE), "NOT FOUND")</f>
        <v>Analyst</v>
      </c>
    </row>
    <row r="30" spans="1:9" x14ac:dyDescent="0.35">
      <c r="A30" t="s">
        <v>366</v>
      </c>
      <c r="B30" t="s">
        <v>367</v>
      </c>
      <c r="C30" t="s">
        <v>232</v>
      </c>
      <c r="D30" t="s">
        <v>365</v>
      </c>
      <c r="E30">
        <v>4</v>
      </c>
      <c r="F30">
        <v>299</v>
      </c>
      <c r="G30" t="str">
        <f>IFERROR(VLOOKUP(C30, Employees!A:I, 2, FALSE), "Not Found")</f>
        <v>Sarah Garcia</v>
      </c>
      <c r="H30" t="str">
        <f>IFERROR(VLOOKUP(C30, Employees!A:I, 3, FALSE), "Not Found")</f>
        <v>Finance</v>
      </c>
      <c r="I30" t="str">
        <f>IFERROR(VLOOKUP(C30,Employees!A:I, 4, FALSE), "NOT FOUND")</f>
        <v>Coordinator</v>
      </c>
    </row>
    <row r="31" spans="1:9" x14ac:dyDescent="0.35">
      <c r="A31" t="s">
        <v>368</v>
      </c>
      <c r="B31" t="s">
        <v>369</v>
      </c>
      <c r="C31" t="s">
        <v>149</v>
      </c>
      <c r="D31" t="s">
        <v>296</v>
      </c>
      <c r="E31">
        <v>9</v>
      </c>
      <c r="F31">
        <v>999</v>
      </c>
      <c r="G31" t="str">
        <f>IFERROR(VLOOKUP(C31, Employees!A:I, 2, FALSE), "Not Found")</f>
        <v>Sarah Brown</v>
      </c>
      <c r="H31" t="str">
        <f>IFERROR(VLOOKUP(C31, Employees!A:I, 3, FALSE), "Not Found")</f>
        <v>Marketing</v>
      </c>
      <c r="I31" t="str">
        <f>IFERROR(VLOOKUP(C31,Employees!A:I, 4, FALSE), "NOT FOUND")</f>
        <v>Manager</v>
      </c>
    </row>
    <row r="32" spans="1:9" x14ac:dyDescent="0.35">
      <c r="A32" t="s">
        <v>370</v>
      </c>
      <c r="B32" t="s">
        <v>369</v>
      </c>
      <c r="C32" t="s">
        <v>31</v>
      </c>
      <c r="D32" t="s">
        <v>305</v>
      </c>
      <c r="E32">
        <v>7</v>
      </c>
      <c r="F32">
        <v>999</v>
      </c>
      <c r="G32" t="str">
        <f>IFERROR(VLOOKUP(C32, Employees!A:I, 2, FALSE), "Not Found")</f>
        <v>John Williams</v>
      </c>
      <c r="H32" t="str">
        <f>IFERROR(VLOOKUP(C32, Employees!A:I, 3, FALSE), "Not Found")</f>
        <v>Operations</v>
      </c>
      <c r="I32" t="str">
        <f>IFERROR(VLOOKUP(C32,Employees!A:I, 4, FALSE), "NOT FOUND")</f>
        <v>Coordinator</v>
      </c>
    </row>
    <row r="33" spans="1:9" x14ac:dyDescent="0.35">
      <c r="A33" t="s">
        <v>371</v>
      </c>
      <c r="B33" t="s">
        <v>372</v>
      </c>
      <c r="C33" t="s">
        <v>232</v>
      </c>
      <c r="D33" t="s">
        <v>333</v>
      </c>
      <c r="E33">
        <v>10</v>
      </c>
      <c r="F33">
        <v>999</v>
      </c>
      <c r="G33" t="str">
        <f>IFERROR(VLOOKUP(C33, Employees!A:I, 2, FALSE), "Not Found")</f>
        <v>Sarah Garcia</v>
      </c>
      <c r="H33" t="str">
        <f>IFERROR(VLOOKUP(C33, Employees!A:I, 3, FALSE), "Not Found")</f>
        <v>Finance</v>
      </c>
      <c r="I33" t="str">
        <f>IFERROR(VLOOKUP(C33,Employees!A:I, 4, FALSE), "NOT FOUND")</f>
        <v>Coordinator</v>
      </c>
    </row>
    <row r="34" spans="1:9" x14ac:dyDescent="0.35">
      <c r="A34" t="s">
        <v>373</v>
      </c>
      <c r="B34" t="s">
        <v>374</v>
      </c>
      <c r="C34" t="s">
        <v>9</v>
      </c>
      <c r="D34" t="s">
        <v>375</v>
      </c>
      <c r="E34">
        <v>5</v>
      </c>
      <c r="F34">
        <v>999</v>
      </c>
      <c r="G34" t="str">
        <f>IFERROR(VLOOKUP(C34, Employees!A:I, 2, FALSE), "Not Found")</f>
        <v>Sarah Smith</v>
      </c>
      <c r="H34" t="str">
        <f>IFERROR(VLOOKUP(C34, Employees!A:I, 3, FALSE), "Not Found")</f>
        <v>Operations</v>
      </c>
      <c r="I34" t="str">
        <f>IFERROR(VLOOKUP(C34,Employees!A:I, 4, FALSE), "NOT FOUND")</f>
        <v>Specialist</v>
      </c>
    </row>
    <row r="35" spans="1:9" x14ac:dyDescent="0.35">
      <c r="A35" t="s">
        <v>376</v>
      </c>
      <c r="B35" t="s">
        <v>377</v>
      </c>
      <c r="C35" t="s">
        <v>187</v>
      </c>
      <c r="D35" t="s">
        <v>354</v>
      </c>
      <c r="E35">
        <v>10</v>
      </c>
      <c r="F35">
        <v>499</v>
      </c>
      <c r="G35" t="str">
        <f>IFERROR(VLOOKUP(C35, Employees!A:I, 2, FALSE), "Not Found")</f>
        <v>Robert Garcia</v>
      </c>
      <c r="H35" t="str">
        <f>IFERROR(VLOOKUP(C35, Employees!A:I, 3, FALSE), "Not Found")</f>
        <v>IT</v>
      </c>
      <c r="I35" t="str">
        <f>IFERROR(VLOOKUP(C35,Employees!A:I, 4, FALSE), "NOT FOUND")</f>
        <v>Manager</v>
      </c>
    </row>
    <row r="36" spans="1:9" x14ac:dyDescent="0.35">
      <c r="A36" t="s">
        <v>378</v>
      </c>
      <c r="B36" t="s">
        <v>379</v>
      </c>
      <c r="C36" t="s">
        <v>92</v>
      </c>
      <c r="D36" t="s">
        <v>356</v>
      </c>
      <c r="E36">
        <v>7</v>
      </c>
      <c r="F36">
        <v>999</v>
      </c>
      <c r="G36" t="str">
        <f>IFERROR(VLOOKUP(C36, Employees!A:I, 2, FALSE), "Not Found")</f>
        <v>Robert Miller</v>
      </c>
      <c r="H36" t="str">
        <f>IFERROR(VLOOKUP(C36, Employees!A:I, 3, FALSE), "Not Found")</f>
        <v>Finance</v>
      </c>
      <c r="I36" t="str">
        <f>IFERROR(VLOOKUP(C36,Employees!A:I, 4, FALSE), "NOT FOUND")</f>
        <v>Coordinator</v>
      </c>
    </row>
    <row r="37" spans="1:9" x14ac:dyDescent="0.35">
      <c r="A37" t="s">
        <v>380</v>
      </c>
      <c r="B37" t="s">
        <v>381</v>
      </c>
      <c r="C37" t="s">
        <v>140</v>
      </c>
      <c r="D37" t="s">
        <v>296</v>
      </c>
      <c r="E37">
        <v>7</v>
      </c>
      <c r="F37">
        <v>1499</v>
      </c>
      <c r="G37" t="str">
        <f>IFERROR(VLOOKUP(C37, Employees!A:I, 2, FALSE), "Not Found")</f>
        <v>Emily Davis</v>
      </c>
      <c r="H37" t="str">
        <f>IFERROR(VLOOKUP(C37, Employees!A:I, 3, FALSE), "Not Found")</f>
        <v>HR</v>
      </c>
      <c r="I37" t="str">
        <f>IFERROR(VLOOKUP(C37,Employees!A:I, 4, FALSE), "NOT FOUND")</f>
        <v>Manager</v>
      </c>
    </row>
    <row r="38" spans="1:9" x14ac:dyDescent="0.35">
      <c r="A38" t="s">
        <v>382</v>
      </c>
      <c r="B38" t="s">
        <v>383</v>
      </c>
      <c r="C38" t="s">
        <v>163</v>
      </c>
      <c r="D38" t="s">
        <v>365</v>
      </c>
      <c r="E38">
        <v>10</v>
      </c>
      <c r="F38">
        <v>1299</v>
      </c>
      <c r="G38" t="str">
        <f>IFERROR(VLOOKUP(C38, Employees!A:I, 2, FALSE), "Not Found")</f>
        <v>John Williams</v>
      </c>
      <c r="H38" t="str">
        <f>IFERROR(VLOOKUP(C38, Employees!A:I, 3, FALSE), "Not Found")</f>
        <v>HR</v>
      </c>
      <c r="I38" t="str">
        <f>IFERROR(VLOOKUP(C38,Employees!A:I, 4, FALSE), "NOT FOUND")</f>
        <v>Analyst</v>
      </c>
    </row>
    <row r="39" spans="1:9" x14ac:dyDescent="0.35">
      <c r="A39" t="s">
        <v>384</v>
      </c>
      <c r="B39" t="s">
        <v>385</v>
      </c>
      <c r="C39" t="s">
        <v>144</v>
      </c>
      <c r="D39" t="s">
        <v>317</v>
      </c>
      <c r="E39">
        <v>10</v>
      </c>
      <c r="F39">
        <v>1499</v>
      </c>
      <c r="G39" t="str">
        <f>IFERROR(VLOOKUP(C39, Employees!A:I, 2, FALSE), "Not Found")</f>
        <v>Robert Davis</v>
      </c>
      <c r="H39" t="str">
        <f>IFERROR(VLOOKUP(C39, Employees!A:I, 3, FALSE), "Not Found")</f>
        <v>Operations</v>
      </c>
      <c r="I39" t="str">
        <f>IFERROR(VLOOKUP(C39,Employees!A:I, 4, FALSE), "NOT FOUND")</f>
        <v>Analyst</v>
      </c>
    </row>
    <row r="40" spans="1:9" x14ac:dyDescent="0.35">
      <c r="A40" t="s">
        <v>386</v>
      </c>
      <c r="B40" t="s">
        <v>385</v>
      </c>
      <c r="C40" t="s">
        <v>44</v>
      </c>
      <c r="D40" t="s">
        <v>340</v>
      </c>
      <c r="E40">
        <v>7</v>
      </c>
      <c r="F40">
        <v>499</v>
      </c>
      <c r="G40" t="str">
        <f>IFERROR(VLOOKUP(C40, Employees!A:I, 2, FALSE), "Not Found")</f>
        <v>Jennifer Johnson</v>
      </c>
      <c r="H40" t="str">
        <f>IFERROR(VLOOKUP(C40, Employees!A:I, 3, FALSE), "Not Found")</f>
        <v>HR</v>
      </c>
      <c r="I40" t="str">
        <f>IFERROR(VLOOKUP(C40,Employees!A:I, 4, FALSE), "NOT FOUND")</f>
        <v>Analyst</v>
      </c>
    </row>
    <row r="41" spans="1:9" x14ac:dyDescent="0.35">
      <c r="A41" t="s">
        <v>387</v>
      </c>
      <c r="B41" t="s">
        <v>388</v>
      </c>
      <c r="C41" t="s">
        <v>77</v>
      </c>
      <c r="D41" t="s">
        <v>389</v>
      </c>
      <c r="E41">
        <v>5</v>
      </c>
      <c r="F41">
        <v>999</v>
      </c>
      <c r="G41" t="str">
        <f>IFERROR(VLOOKUP(C41, Employees!A:I, 2, FALSE), "Not Found")</f>
        <v>Emily Davis</v>
      </c>
      <c r="H41" t="str">
        <f>IFERROR(VLOOKUP(C41, Employees!A:I, 3, FALSE), "Not Found")</f>
        <v>HR</v>
      </c>
      <c r="I41" t="str">
        <f>IFERROR(VLOOKUP(C41,Employees!A:I, 4, FALSE), "NOT FOUND")</f>
        <v>Coordinator</v>
      </c>
    </row>
    <row r="42" spans="1:9" x14ac:dyDescent="0.35">
      <c r="A42" t="s">
        <v>390</v>
      </c>
      <c r="B42" t="s">
        <v>391</v>
      </c>
      <c r="C42" t="s">
        <v>87</v>
      </c>
      <c r="D42" t="s">
        <v>351</v>
      </c>
      <c r="E42">
        <v>6</v>
      </c>
      <c r="F42">
        <v>799</v>
      </c>
      <c r="G42" t="str">
        <f>IFERROR(VLOOKUP(C42, Employees!A:I, 2, FALSE), "Not Found")</f>
        <v>Sarah Smith</v>
      </c>
      <c r="H42" t="str">
        <f>IFERROR(VLOOKUP(C42, Employees!A:I, 3, FALSE), "Not Found")</f>
        <v>Sales</v>
      </c>
      <c r="I42" t="str">
        <f>IFERROR(VLOOKUP(C42,Employees!A:I, 4, FALSE), "NOT FOUND")</f>
        <v>Manager</v>
      </c>
    </row>
    <row r="43" spans="1:9" x14ac:dyDescent="0.35">
      <c r="A43" t="s">
        <v>392</v>
      </c>
      <c r="B43" t="s">
        <v>393</v>
      </c>
      <c r="C43" t="s">
        <v>107</v>
      </c>
      <c r="D43" t="s">
        <v>302</v>
      </c>
      <c r="E43">
        <v>5</v>
      </c>
      <c r="F43">
        <v>299</v>
      </c>
      <c r="G43" t="str">
        <f>IFERROR(VLOOKUP(C43, Employees!A:I, 2, FALSE), "Not Found")</f>
        <v>Jessica Brown</v>
      </c>
      <c r="H43" t="str">
        <f>IFERROR(VLOOKUP(C43, Employees!A:I, 3, FALSE), "Not Found")</f>
        <v>Marketing</v>
      </c>
      <c r="I43" t="str">
        <f>IFERROR(VLOOKUP(C43,Employees!A:I, 4, FALSE), "NOT FOUND")</f>
        <v>Specialist</v>
      </c>
    </row>
    <row r="44" spans="1:9" x14ac:dyDescent="0.35">
      <c r="A44" t="s">
        <v>394</v>
      </c>
      <c r="B44" t="s">
        <v>395</v>
      </c>
      <c r="C44" t="s">
        <v>17</v>
      </c>
      <c r="D44" t="s">
        <v>354</v>
      </c>
      <c r="E44">
        <v>1</v>
      </c>
      <c r="F44">
        <v>799</v>
      </c>
      <c r="G44" t="str">
        <f>IFERROR(VLOOKUP(C44, Employees!A:I, 2, FALSE), "Not Found")</f>
        <v>William Johnson</v>
      </c>
      <c r="H44" t="str">
        <f>IFERROR(VLOOKUP(C44, Employees!A:I, 3, FALSE), "Not Found")</f>
        <v>Finance</v>
      </c>
      <c r="I44" t="str">
        <f>IFERROR(VLOOKUP(C44,Employees!A:I, 4, FALSE), "NOT FOUND")</f>
        <v>Coordinator</v>
      </c>
    </row>
    <row r="45" spans="1:9" x14ac:dyDescent="0.35">
      <c r="A45" t="s">
        <v>396</v>
      </c>
      <c r="B45" t="s">
        <v>397</v>
      </c>
      <c r="C45" t="s">
        <v>219</v>
      </c>
      <c r="D45" t="s">
        <v>327</v>
      </c>
      <c r="E45">
        <v>1</v>
      </c>
      <c r="F45">
        <v>299</v>
      </c>
      <c r="G45" t="str">
        <f>IFERROR(VLOOKUP(C45, Employees!A:I, 2, FALSE), "Not Found")</f>
        <v>David Williams</v>
      </c>
      <c r="H45" t="str">
        <f>IFERROR(VLOOKUP(C45, Employees!A:I, 3, FALSE), "Not Found")</f>
        <v>Operations</v>
      </c>
      <c r="I45" t="str">
        <f>IFERROR(VLOOKUP(C45,Employees!A:I, 4, FALSE), "NOT FOUND")</f>
        <v>Coordinator</v>
      </c>
    </row>
    <row r="46" spans="1:9" x14ac:dyDescent="0.35">
      <c r="A46" t="s">
        <v>398</v>
      </c>
      <c r="B46" t="s">
        <v>399</v>
      </c>
      <c r="C46" t="s">
        <v>82</v>
      </c>
      <c r="D46" t="s">
        <v>333</v>
      </c>
      <c r="E46">
        <v>10</v>
      </c>
      <c r="F46">
        <v>499</v>
      </c>
      <c r="G46" t="str">
        <f>IFERROR(VLOOKUP(C46, Employees!A:I, 2, FALSE), "Not Found")</f>
        <v>David Miller</v>
      </c>
      <c r="H46" t="str">
        <f>IFERROR(VLOOKUP(C46, Employees!A:I, 3, FALSE), "Not Found")</f>
        <v>Finance</v>
      </c>
      <c r="I46" t="str">
        <f>IFERROR(VLOOKUP(C46,Employees!A:I, 4, FALSE), "NOT FOUND")</f>
        <v>Coordinator</v>
      </c>
    </row>
    <row r="47" spans="1:9" x14ac:dyDescent="0.35">
      <c r="A47" t="s">
        <v>400</v>
      </c>
      <c r="B47" t="s">
        <v>360</v>
      </c>
      <c r="C47" t="s">
        <v>61</v>
      </c>
      <c r="D47" t="s">
        <v>401</v>
      </c>
      <c r="E47">
        <v>2</v>
      </c>
      <c r="F47">
        <v>1299</v>
      </c>
      <c r="G47" t="str">
        <f>IFERROR(VLOOKUP(C47, Employees!A:I, 2, FALSE), "Not Found")</f>
        <v>Lisa Brown</v>
      </c>
      <c r="H47" t="str">
        <f>IFERROR(VLOOKUP(C47, Employees!A:I, 3, FALSE), "Not Found")</f>
        <v>Operations</v>
      </c>
      <c r="I47" t="str">
        <f>IFERROR(VLOOKUP(C47,Employees!A:I, 4, FALSE), "NOT FOUND")</f>
        <v>Specialist</v>
      </c>
    </row>
    <row r="48" spans="1:9" x14ac:dyDescent="0.35">
      <c r="A48" t="s">
        <v>402</v>
      </c>
      <c r="B48" t="s">
        <v>403</v>
      </c>
      <c r="C48" t="s">
        <v>163</v>
      </c>
      <c r="D48" t="s">
        <v>356</v>
      </c>
      <c r="E48">
        <v>6</v>
      </c>
      <c r="F48">
        <v>499</v>
      </c>
      <c r="G48" t="str">
        <f>IFERROR(VLOOKUP(C48, Employees!A:I, 2, FALSE), "Not Found")</f>
        <v>John Williams</v>
      </c>
      <c r="H48" t="str">
        <f>IFERROR(VLOOKUP(C48, Employees!A:I, 3, FALSE), "Not Found")</f>
        <v>HR</v>
      </c>
      <c r="I48" t="str">
        <f>IFERROR(VLOOKUP(C48,Employees!A:I, 4, FALSE), "NOT FOUND")</f>
        <v>Analyst</v>
      </c>
    </row>
    <row r="49" spans="1:9" x14ac:dyDescent="0.35">
      <c r="A49" t="s">
        <v>404</v>
      </c>
      <c r="B49" t="s">
        <v>405</v>
      </c>
      <c r="C49" t="s">
        <v>257</v>
      </c>
      <c r="D49" t="s">
        <v>343</v>
      </c>
      <c r="E49">
        <v>5</v>
      </c>
      <c r="F49">
        <v>299</v>
      </c>
      <c r="G49" t="str">
        <f>IFERROR(VLOOKUP(C49, Employees!A:I, 2, FALSE), "Not Found")</f>
        <v>Sarah Jones</v>
      </c>
      <c r="H49" t="str">
        <f>IFERROR(VLOOKUP(C49, Employees!A:I, 3, FALSE), "Not Found")</f>
        <v>Marketing</v>
      </c>
      <c r="I49" t="str">
        <f>IFERROR(VLOOKUP(C49,Employees!A:I, 4, FALSE), "NOT FOUND")</f>
        <v>Director</v>
      </c>
    </row>
    <row r="50" spans="1:9" x14ac:dyDescent="0.35">
      <c r="A50" t="s">
        <v>406</v>
      </c>
      <c r="B50" t="s">
        <v>407</v>
      </c>
      <c r="C50" t="s">
        <v>17</v>
      </c>
      <c r="D50" t="s">
        <v>310</v>
      </c>
      <c r="E50">
        <v>10</v>
      </c>
      <c r="F50">
        <v>1499</v>
      </c>
      <c r="G50" t="str">
        <f>IFERROR(VLOOKUP(C50, Employees!A:I, 2, FALSE), "Not Found")</f>
        <v>William Johnson</v>
      </c>
      <c r="H50" t="str">
        <f>IFERROR(VLOOKUP(C50, Employees!A:I, 3, FALSE), "Not Found")</f>
        <v>Finance</v>
      </c>
      <c r="I50" t="str">
        <f>IFERROR(VLOOKUP(C50,Employees!A:I, 4, FALSE), "NOT FOUND")</f>
        <v>Coordinator</v>
      </c>
    </row>
    <row r="51" spans="1:9" x14ac:dyDescent="0.35">
      <c r="A51" t="s">
        <v>408</v>
      </c>
      <c r="B51" t="s">
        <v>409</v>
      </c>
      <c r="C51" t="s">
        <v>144</v>
      </c>
      <c r="D51" t="s">
        <v>305</v>
      </c>
      <c r="E51">
        <v>2</v>
      </c>
      <c r="F51">
        <v>1299</v>
      </c>
      <c r="G51" t="str">
        <f>IFERROR(VLOOKUP(C51, Employees!A:I, 2, FALSE), "Not Found")</f>
        <v>Robert Davis</v>
      </c>
      <c r="H51" t="str">
        <f>IFERROR(VLOOKUP(C51, Employees!A:I, 3, FALSE), "Not Found")</f>
        <v>Operations</v>
      </c>
      <c r="I51" t="str">
        <f>IFERROR(VLOOKUP(C51,Employees!A:I, 4, FALSE), "NOT FOUND")</f>
        <v>Analyst</v>
      </c>
    </row>
    <row r="52" spans="1:9" x14ac:dyDescent="0.35">
      <c r="A52" t="s">
        <v>410</v>
      </c>
      <c r="B52" t="s">
        <v>339</v>
      </c>
      <c r="C52" t="s">
        <v>49</v>
      </c>
      <c r="D52" t="s">
        <v>310</v>
      </c>
      <c r="E52">
        <v>10</v>
      </c>
      <c r="F52">
        <v>299</v>
      </c>
      <c r="G52" t="str">
        <f>IFERROR(VLOOKUP(C52, Employees!A:I, 2, FALSE), "Not Found")</f>
        <v>Jessica Brown</v>
      </c>
      <c r="H52" t="str">
        <f>IFERROR(VLOOKUP(C52, Employees!A:I, 3, FALSE), "Not Found")</f>
        <v>Operations</v>
      </c>
      <c r="I52" t="str">
        <f>IFERROR(VLOOKUP(C52,Employees!A:I, 4, FALSE), "NOT FOUND")</f>
        <v>Analyst</v>
      </c>
    </row>
    <row r="53" spans="1:9" x14ac:dyDescent="0.35">
      <c r="A53" t="s">
        <v>411</v>
      </c>
      <c r="B53" t="s">
        <v>412</v>
      </c>
      <c r="C53" t="s">
        <v>25</v>
      </c>
      <c r="D53" t="s">
        <v>375</v>
      </c>
      <c r="E53">
        <v>9</v>
      </c>
      <c r="F53">
        <v>999</v>
      </c>
      <c r="G53" t="str">
        <f>IFERROR(VLOOKUP(C53, Employees!A:I, 2, FALSE), "Not Found")</f>
        <v>William Smith</v>
      </c>
      <c r="H53" t="str">
        <f>IFERROR(VLOOKUP(C53, Employees!A:I, 3, FALSE), "Not Found")</f>
        <v>Finance</v>
      </c>
      <c r="I53" t="str">
        <f>IFERROR(VLOOKUP(C53,Employees!A:I, 4, FALSE), "NOT FOUND")</f>
        <v>Manager</v>
      </c>
    </row>
    <row r="54" spans="1:9" x14ac:dyDescent="0.35">
      <c r="A54" t="s">
        <v>413</v>
      </c>
      <c r="B54" t="s">
        <v>414</v>
      </c>
      <c r="C54" t="s">
        <v>36</v>
      </c>
      <c r="D54" t="s">
        <v>348</v>
      </c>
      <c r="E54">
        <v>6</v>
      </c>
      <c r="F54">
        <v>299</v>
      </c>
      <c r="G54" t="str">
        <f>IFERROR(VLOOKUP(C54, Employees!A:I, 2, FALSE), "Not Found")</f>
        <v>Sarah Johnson</v>
      </c>
      <c r="H54" t="str">
        <f>IFERROR(VLOOKUP(C54, Employees!A:I, 3, FALSE), "Not Found")</f>
        <v>HR</v>
      </c>
      <c r="I54" t="str">
        <f>IFERROR(VLOOKUP(C54,Employees!A:I, 4, FALSE), "NOT FOUND")</f>
        <v>Analyst</v>
      </c>
    </row>
    <row r="55" spans="1:9" x14ac:dyDescent="0.35">
      <c r="A55" t="s">
        <v>415</v>
      </c>
      <c r="B55" t="s">
        <v>416</v>
      </c>
      <c r="C55" t="s">
        <v>172</v>
      </c>
      <c r="D55" t="s">
        <v>417</v>
      </c>
      <c r="E55">
        <v>7</v>
      </c>
      <c r="F55">
        <v>799</v>
      </c>
      <c r="G55" t="str">
        <f>IFERROR(VLOOKUP(C55, Employees!A:I, 2, FALSE), "Not Found")</f>
        <v>John Garcia</v>
      </c>
      <c r="H55" t="str">
        <f>IFERROR(VLOOKUP(C55, Employees!A:I, 3, FALSE), "Not Found")</f>
        <v>Sales</v>
      </c>
      <c r="I55" t="str">
        <f>IFERROR(VLOOKUP(C55,Employees!A:I, 4, FALSE), "NOT FOUND")</f>
        <v>Analyst</v>
      </c>
    </row>
    <row r="56" spans="1:9" x14ac:dyDescent="0.35">
      <c r="A56" t="s">
        <v>418</v>
      </c>
      <c r="B56" t="s">
        <v>419</v>
      </c>
      <c r="C56" t="s">
        <v>237</v>
      </c>
      <c r="D56" t="s">
        <v>365</v>
      </c>
      <c r="E56">
        <v>7</v>
      </c>
      <c r="F56">
        <v>499</v>
      </c>
      <c r="G56" t="str">
        <f>IFERROR(VLOOKUP(C56, Employees!A:I, 2, FALSE), "Not Found")</f>
        <v>Robert Smith</v>
      </c>
      <c r="H56" t="str">
        <f>IFERROR(VLOOKUP(C56, Employees!A:I, 3, FALSE), "Not Found")</f>
        <v>Marketing</v>
      </c>
      <c r="I56" t="str">
        <f>IFERROR(VLOOKUP(C56,Employees!A:I, 4, FALSE), "NOT FOUND")</f>
        <v>Specialist</v>
      </c>
    </row>
    <row r="57" spans="1:9" x14ac:dyDescent="0.35">
      <c r="A57" t="s">
        <v>420</v>
      </c>
      <c r="B57" t="s">
        <v>421</v>
      </c>
      <c r="C57" t="s">
        <v>219</v>
      </c>
      <c r="D57" t="s">
        <v>356</v>
      </c>
      <c r="E57">
        <v>10</v>
      </c>
      <c r="F57">
        <v>1299</v>
      </c>
      <c r="G57" t="str">
        <f>IFERROR(VLOOKUP(C57, Employees!A:I, 2, FALSE), "Not Found")</f>
        <v>David Williams</v>
      </c>
      <c r="H57" t="str">
        <f>IFERROR(VLOOKUP(C57, Employees!A:I, 3, FALSE), "Not Found")</f>
        <v>Operations</v>
      </c>
      <c r="I57" t="str">
        <f>IFERROR(VLOOKUP(C57,Employees!A:I, 4, FALSE), "NOT FOUND")</f>
        <v>Coordinator</v>
      </c>
    </row>
    <row r="58" spans="1:9" x14ac:dyDescent="0.35">
      <c r="A58" t="s">
        <v>422</v>
      </c>
      <c r="B58" t="s">
        <v>423</v>
      </c>
      <c r="C58" t="s">
        <v>163</v>
      </c>
      <c r="D58" t="s">
        <v>302</v>
      </c>
      <c r="E58">
        <v>10</v>
      </c>
      <c r="F58">
        <v>799</v>
      </c>
      <c r="G58" t="str">
        <f>IFERROR(VLOOKUP(C58, Employees!A:I, 2, FALSE), "Not Found")</f>
        <v>John Williams</v>
      </c>
      <c r="H58" t="str">
        <f>IFERROR(VLOOKUP(C58, Employees!A:I, 3, FALSE), "Not Found")</f>
        <v>HR</v>
      </c>
      <c r="I58" t="str">
        <f>IFERROR(VLOOKUP(C58,Employees!A:I, 4, FALSE), "NOT FOUND")</f>
        <v>Analyst</v>
      </c>
    </row>
    <row r="59" spans="1:9" x14ac:dyDescent="0.35">
      <c r="A59" t="s">
        <v>424</v>
      </c>
      <c r="B59" t="s">
        <v>425</v>
      </c>
      <c r="C59" t="s">
        <v>97</v>
      </c>
      <c r="D59" t="s">
        <v>327</v>
      </c>
      <c r="E59">
        <v>5</v>
      </c>
      <c r="F59">
        <v>999</v>
      </c>
      <c r="G59" t="str">
        <f>IFERROR(VLOOKUP(C59, Employees!A:I, 2, FALSE), "Not Found")</f>
        <v>Sarah Jones</v>
      </c>
      <c r="H59" t="str">
        <f>IFERROR(VLOOKUP(C59, Employees!A:I, 3, FALSE), "Not Found")</f>
        <v>Operations</v>
      </c>
      <c r="I59" t="str">
        <f>IFERROR(VLOOKUP(C59,Employees!A:I, 4, FALSE), "NOT FOUND")</f>
        <v>Specialist</v>
      </c>
    </row>
    <row r="60" spans="1:9" x14ac:dyDescent="0.35">
      <c r="A60" t="s">
        <v>426</v>
      </c>
      <c r="B60" t="s">
        <v>339</v>
      </c>
      <c r="C60" t="s">
        <v>252</v>
      </c>
      <c r="D60" t="s">
        <v>351</v>
      </c>
      <c r="E60">
        <v>10</v>
      </c>
      <c r="F60">
        <v>1299</v>
      </c>
      <c r="G60" t="str">
        <f>IFERROR(VLOOKUP(C60, Employees!A:I, 2, FALSE), "Not Found")</f>
        <v>David Garcia</v>
      </c>
      <c r="H60" t="str">
        <f>IFERROR(VLOOKUP(C60, Employees!A:I, 3, FALSE), "Not Found")</f>
        <v>Operations</v>
      </c>
      <c r="I60" t="str">
        <f>IFERROR(VLOOKUP(C60,Employees!A:I, 4, FALSE), "NOT FOUND")</f>
        <v>Director</v>
      </c>
    </row>
    <row r="61" spans="1:9" x14ac:dyDescent="0.35">
      <c r="A61" t="s">
        <v>427</v>
      </c>
      <c r="B61" t="s">
        <v>393</v>
      </c>
      <c r="C61" t="s">
        <v>127</v>
      </c>
      <c r="D61" t="s">
        <v>333</v>
      </c>
      <c r="E61">
        <v>8</v>
      </c>
      <c r="F61">
        <v>799</v>
      </c>
      <c r="G61" t="str">
        <f>IFERROR(VLOOKUP(C61, Employees!A:I, 2, FALSE), "Not Found")</f>
        <v>Jennifer Davis</v>
      </c>
      <c r="H61" t="str">
        <f>IFERROR(VLOOKUP(C61, Employees!A:I, 3, FALSE), "Not Found")</f>
        <v>Sales</v>
      </c>
      <c r="I61" t="str">
        <f>IFERROR(VLOOKUP(C61,Employees!A:I, 4, FALSE), "NOT FOUND")</f>
        <v>Manager</v>
      </c>
    </row>
    <row r="62" spans="1:9" x14ac:dyDescent="0.35">
      <c r="A62" t="s">
        <v>428</v>
      </c>
      <c r="B62" t="s">
        <v>429</v>
      </c>
      <c r="C62" t="s">
        <v>172</v>
      </c>
      <c r="D62" t="s">
        <v>305</v>
      </c>
      <c r="E62">
        <v>6</v>
      </c>
      <c r="F62">
        <v>799</v>
      </c>
      <c r="G62" t="str">
        <f>IFERROR(VLOOKUP(C62, Employees!A:I, 2, FALSE), "Not Found")</f>
        <v>John Garcia</v>
      </c>
      <c r="H62" t="str">
        <f>IFERROR(VLOOKUP(C62, Employees!A:I, 3, FALSE), "Not Found")</f>
        <v>Sales</v>
      </c>
      <c r="I62" t="str">
        <f>IFERROR(VLOOKUP(C62,Employees!A:I, 4, FALSE), "NOT FOUND")</f>
        <v>Analyst</v>
      </c>
    </row>
    <row r="63" spans="1:9" x14ac:dyDescent="0.35">
      <c r="A63" t="s">
        <v>430</v>
      </c>
      <c r="B63" t="s">
        <v>431</v>
      </c>
      <c r="C63" t="s">
        <v>107</v>
      </c>
      <c r="D63" t="s">
        <v>322</v>
      </c>
      <c r="E63">
        <v>5</v>
      </c>
      <c r="F63">
        <v>1299</v>
      </c>
      <c r="G63" t="str">
        <f>IFERROR(VLOOKUP(C63, Employees!A:I, 2, FALSE), "Not Found")</f>
        <v>Jessica Brown</v>
      </c>
      <c r="H63" t="str">
        <f>IFERROR(VLOOKUP(C63, Employees!A:I, 3, FALSE), "Not Found")</f>
        <v>Marketing</v>
      </c>
      <c r="I63" t="str">
        <f>IFERROR(VLOOKUP(C63,Employees!A:I, 4, FALSE), "NOT FOUND")</f>
        <v>Specialist</v>
      </c>
    </row>
    <row r="64" spans="1:9" x14ac:dyDescent="0.35">
      <c r="A64" t="s">
        <v>432</v>
      </c>
      <c r="B64" t="s">
        <v>433</v>
      </c>
      <c r="C64" t="s">
        <v>182</v>
      </c>
      <c r="D64" t="s">
        <v>305</v>
      </c>
      <c r="E64">
        <v>2</v>
      </c>
      <c r="F64">
        <v>499</v>
      </c>
      <c r="G64" t="str">
        <f>IFERROR(VLOOKUP(C64, Employees!A:I, 2, FALSE), "Not Found")</f>
        <v>Robert Johnson</v>
      </c>
      <c r="H64" t="str">
        <f>IFERROR(VLOOKUP(C64, Employees!A:I, 3, FALSE), "Not Found")</f>
        <v>Finance</v>
      </c>
      <c r="I64" t="str">
        <f>IFERROR(VLOOKUP(C64,Employees!A:I, 4, FALSE), "NOT FOUND")</f>
        <v>Manager</v>
      </c>
    </row>
    <row r="65" spans="1:9" x14ac:dyDescent="0.35">
      <c r="A65" t="s">
        <v>434</v>
      </c>
      <c r="B65" t="s">
        <v>435</v>
      </c>
      <c r="C65" t="s">
        <v>172</v>
      </c>
      <c r="D65" t="s">
        <v>354</v>
      </c>
      <c r="E65">
        <v>4</v>
      </c>
      <c r="F65">
        <v>1499</v>
      </c>
      <c r="G65" t="str">
        <f>IFERROR(VLOOKUP(C65, Employees!A:I, 2, FALSE), "Not Found")</f>
        <v>John Garcia</v>
      </c>
      <c r="H65" t="str">
        <f>IFERROR(VLOOKUP(C65, Employees!A:I, 3, FALSE), "Not Found")</f>
        <v>Sales</v>
      </c>
      <c r="I65" t="str">
        <f>IFERROR(VLOOKUP(C65,Employees!A:I, 4, FALSE), "NOT FOUND")</f>
        <v>Analyst</v>
      </c>
    </row>
    <row r="66" spans="1:9" x14ac:dyDescent="0.35">
      <c r="A66" t="s">
        <v>436</v>
      </c>
      <c r="B66" t="s">
        <v>335</v>
      </c>
      <c r="C66" t="s">
        <v>219</v>
      </c>
      <c r="D66" t="s">
        <v>401</v>
      </c>
      <c r="E66">
        <v>8</v>
      </c>
      <c r="F66">
        <v>299</v>
      </c>
      <c r="G66" t="str">
        <f>IFERROR(VLOOKUP(C66, Employees!A:I, 2, FALSE), "Not Found")</f>
        <v>David Williams</v>
      </c>
      <c r="H66" t="str">
        <f>IFERROR(VLOOKUP(C66, Employees!A:I, 3, FALSE), "Not Found")</f>
        <v>Operations</v>
      </c>
      <c r="I66" t="str">
        <f>IFERROR(VLOOKUP(C66,Employees!A:I, 4, FALSE), "NOT FOUND")</f>
        <v>Coordinator</v>
      </c>
    </row>
    <row r="67" spans="1:9" x14ac:dyDescent="0.35">
      <c r="A67" t="s">
        <v>437</v>
      </c>
      <c r="B67" t="s">
        <v>438</v>
      </c>
      <c r="C67" t="s">
        <v>112</v>
      </c>
      <c r="D67" t="s">
        <v>330</v>
      </c>
      <c r="E67">
        <v>7</v>
      </c>
      <c r="F67">
        <v>1499</v>
      </c>
      <c r="G67" t="str">
        <f>IFERROR(VLOOKUP(C67, Employees!A:I, 2, FALSE), "Not Found")</f>
        <v>Jennifer Smith</v>
      </c>
      <c r="H67" t="str">
        <f>IFERROR(VLOOKUP(C67, Employees!A:I, 3, FALSE), "Not Found")</f>
        <v>Sales</v>
      </c>
      <c r="I67" t="str">
        <f>IFERROR(VLOOKUP(C67,Employees!A:I, 4, FALSE), "NOT FOUND")</f>
        <v>Specialist</v>
      </c>
    </row>
    <row r="68" spans="1:9" x14ac:dyDescent="0.35">
      <c r="A68" t="s">
        <v>439</v>
      </c>
      <c r="B68" t="s">
        <v>339</v>
      </c>
      <c r="C68" t="s">
        <v>117</v>
      </c>
      <c r="D68" t="s">
        <v>317</v>
      </c>
      <c r="E68">
        <v>6</v>
      </c>
      <c r="F68">
        <v>999</v>
      </c>
      <c r="G68" t="str">
        <f>IFERROR(VLOOKUP(C68, Employees!A:I, 2, FALSE), "Not Found")</f>
        <v>Sarah Davis</v>
      </c>
      <c r="H68" t="str">
        <f>IFERROR(VLOOKUP(C68, Employees!A:I, 3, FALSE), "Not Found")</f>
        <v>Sales</v>
      </c>
      <c r="I68" t="str">
        <f>IFERROR(VLOOKUP(C68,Employees!A:I, 4, FALSE), "NOT FOUND")</f>
        <v>Director</v>
      </c>
    </row>
    <row r="69" spans="1:9" x14ac:dyDescent="0.35">
      <c r="A69" t="s">
        <v>440</v>
      </c>
      <c r="B69" t="s">
        <v>441</v>
      </c>
      <c r="C69" t="s">
        <v>182</v>
      </c>
      <c r="D69" t="s">
        <v>375</v>
      </c>
      <c r="E69">
        <v>7</v>
      </c>
      <c r="F69">
        <v>1499</v>
      </c>
      <c r="G69" t="str">
        <f>IFERROR(VLOOKUP(C69, Employees!A:I, 2, FALSE), "Not Found")</f>
        <v>Robert Johnson</v>
      </c>
      <c r="H69" t="str">
        <f>IFERROR(VLOOKUP(C69, Employees!A:I, 3, FALSE), "Not Found")</f>
        <v>Finance</v>
      </c>
      <c r="I69" t="str">
        <f>IFERROR(VLOOKUP(C69,Employees!A:I, 4, FALSE), "NOT FOUND")</f>
        <v>Manager</v>
      </c>
    </row>
    <row r="70" spans="1:9" x14ac:dyDescent="0.35">
      <c r="A70" t="s">
        <v>442</v>
      </c>
      <c r="B70" t="s">
        <v>443</v>
      </c>
      <c r="C70" t="s">
        <v>127</v>
      </c>
      <c r="D70" t="s">
        <v>375</v>
      </c>
      <c r="E70">
        <v>8</v>
      </c>
      <c r="F70">
        <v>799</v>
      </c>
      <c r="G70" t="str">
        <f>IFERROR(VLOOKUP(C70, Employees!A:I, 2, FALSE), "Not Found")</f>
        <v>Jennifer Davis</v>
      </c>
      <c r="H70" t="str">
        <f>IFERROR(VLOOKUP(C70, Employees!A:I, 3, FALSE), "Not Found")</f>
        <v>Sales</v>
      </c>
      <c r="I70" t="str">
        <f>IFERROR(VLOOKUP(C70,Employees!A:I, 4, FALSE), "NOT FOUND")</f>
        <v>Manager</v>
      </c>
    </row>
    <row r="71" spans="1:9" x14ac:dyDescent="0.35">
      <c r="A71" t="s">
        <v>444</v>
      </c>
      <c r="B71" t="s">
        <v>445</v>
      </c>
      <c r="C71" t="s">
        <v>102</v>
      </c>
      <c r="D71" t="s">
        <v>330</v>
      </c>
      <c r="E71">
        <v>2</v>
      </c>
      <c r="F71">
        <v>1499</v>
      </c>
      <c r="G71" t="str">
        <f>IFERROR(VLOOKUP(C71, Employees!A:I, 2, FALSE), "Not Found")</f>
        <v>John Jones</v>
      </c>
      <c r="H71" t="str">
        <f>IFERROR(VLOOKUP(C71, Employees!A:I, 3, FALSE), "Not Found")</f>
        <v>Finance</v>
      </c>
      <c r="I71" t="str">
        <f>IFERROR(VLOOKUP(C71,Employees!A:I, 4, FALSE), "NOT FOUND")</f>
        <v>Manager</v>
      </c>
    </row>
    <row r="72" spans="1:9" x14ac:dyDescent="0.35">
      <c r="A72" t="s">
        <v>446</v>
      </c>
      <c r="B72" t="s">
        <v>447</v>
      </c>
      <c r="C72" t="s">
        <v>123</v>
      </c>
      <c r="D72" t="s">
        <v>417</v>
      </c>
      <c r="E72">
        <v>9</v>
      </c>
      <c r="F72">
        <v>1499</v>
      </c>
      <c r="G72" t="str">
        <f>IFERROR(VLOOKUP(C72, Employees!A:I, 2, FALSE), "Not Found")</f>
        <v>David Miller</v>
      </c>
      <c r="H72" t="str">
        <f>IFERROR(VLOOKUP(C72, Employees!A:I, 3, FALSE), "Not Found")</f>
        <v>Marketing</v>
      </c>
      <c r="I72" t="str">
        <f>IFERROR(VLOOKUP(C72,Employees!A:I, 4, FALSE), "NOT FOUND")</f>
        <v>Director</v>
      </c>
    </row>
    <row r="73" spans="1:9" x14ac:dyDescent="0.35">
      <c r="A73" t="s">
        <v>448</v>
      </c>
      <c r="B73" t="s">
        <v>449</v>
      </c>
      <c r="C73" t="s">
        <v>82</v>
      </c>
      <c r="D73" t="s">
        <v>305</v>
      </c>
      <c r="E73">
        <v>8</v>
      </c>
      <c r="F73">
        <v>799</v>
      </c>
      <c r="G73" t="str">
        <f>IFERROR(VLOOKUP(C73, Employees!A:I, 2, FALSE), "Not Found")</f>
        <v>David Miller</v>
      </c>
      <c r="H73" t="str">
        <f>IFERROR(VLOOKUP(C73, Employees!A:I, 3, FALSE), "Not Found")</f>
        <v>Finance</v>
      </c>
      <c r="I73" t="str">
        <f>IFERROR(VLOOKUP(C73,Employees!A:I, 4, FALSE), "NOT FOUND")</f>
        <v>Coordinator</v>
      </c>
    </row>
    <row r="74" spans="1:9" x14ac:dyDescent="0.35">
      <c r="A74" t="s">
        <v>450</v>
      </c>
      <c r="B74" t="s">
        <v>451</v>
      </c>
      <c r="C74" t="s">
        <v>205</v>
      </c>
      <c r="D74" t="s">
        <v>310</v>
      </c>
      <c r="E74">
        <v>2</v>
      </c>
      <c r="F74">
        <v>499</v>
      </c>
      <c r="G74" t="str">
        <f>IFERROR(VLOOKUP(C74, Employees!A:I, 2, FALSE), "Not Found")</f>
        <v>Sarah Williams</v>
      </c>
      <c r="H74" t="str">
        <f>IFERROR(VLOOKUP(C74, Employees!A:I, 3, FALSE), "Not Found")</f>
        <v>IT</v>
      </c>
      <c r="I74" t="str">
        <f>IFERROR(VLOOKUP(C74,Employees!A:I, 4, FALSE), "NOT FOUND")</f>
        <v>Analyst</v>
      </c>
    </row>
    <row r="75" spans="1:9" x14ac:dyDescent="0.35">
      <c r="A75" t="s">
        <v>452</v>
      </c>
      <c r="B75" t="s">
        <v>453</v>
      </c>
      <c r="C75" t="s">
        <v>92</v>
      </c>
      <c r="D75" t="s">
        <v>375</v>
      </c>
      <c r="E75">
        <v>3</v>
      </c>
      <c r="F75">
        <v>799</v>
      </c>
      <c r="G75" t="str">
        <f>IFERROR(VLOOKUP(C75, Employees!A:I, 2, FALSE), "Not Found")</f>
        <v>Robert Miller</v>
      </c>
      <c r="H75" t="str">
        <f>IFERROR(VLOOKUP(C75, Employees!A:I, 3, FALSE), "Not Found")</f>
        <v>Finance</v>
      </c>
      <c r="I75" t="str">
        <f>IFERROR(VLOOKUP(C75,Employees!A:I, 4, FALSE), "NOT FOUND")</f>
        <v>Coordinator</v>
      </c>
    </row>
    <row r="76" spans="1:9" x14ac:dyDescent="0.35">
      <c r="A76" t="s">
        <v>454</v>
      </c>
      <c r="B76" t="s">
        <v>455</v>
      </c>
      <c r="C76" t="s">
        <v>237</v>
      </c>
      <c r="D76" t="s">
        <v>354</v>
      </c>
      <c r="E76">
        <v>3</v>
      </c>
      <c r="F76">
        <v>799</v>
      </c>
      <c r="G76" t="str">
        <f>IFERROR(VLOOKUP(C76, Employees!A:I, 2, FALSE), "Not Found")</f>
        <v>Robert Smith</v>
      </c>
      <c r="H76" t="str">
        <f>IFERROR(VLOOKUP(C76, Employees!A:I, 3, FALSE), "Not Found")</f>
        <v>Marketing</v>
      </c>
      <c r="I76" t="str">
        <f>IFERROR(VLOOKUP(C76,Employees!A:I, 4, FALSE), "NOT FOUND")</f>
        <v>Specialist</v>
      </c>
    </row>
    <row r="77" spans="1:9" x14ac:dyDescent="0.35">
      <c r="A77" t="s">
        <v>456</v>
      </c>
      <c r="B77" t="s">
        <v>457</v>
      </c>
      <c r="C77" t="s">
        <v>31</v>
      </c>
      <c r="D77" t="s">
        <v>354</v>
      </c>
      <c r="E77">
        <v>5</v>
      </c>
      <c r="F77">
        <v>1499</v>
      </c>
      <c r="G77" t="str">
        <f>IFERROR(VLOOKUP(C77, Employees!A:I, 2, FALSE), "Not Found")</f>
        <v>John Williams</v>
      </c>
      <c r="H77" t="str">
        <f>IFERROR(VLOOKUP(C77, Employees!A:I, 3, FALSE), "Not Found")</f>
        <v>Operations</v>
      </c>
      <c r="I77" t="str">
        <f>IFERROR(VLOOKUP(C77,Employees!A:I, 4, FALSE), "NOT FOUND")</f>
        <v>Coordinator</v>
      </c>
    </row>
    <row r="78" spans="1:9" x14ac:dyDescent="0.35">
      <c r="A78" t="s">
        <v>458</v>
      </c>
      <c r="B78" t="s">
        <v>459</v>
      </c>
      <c r="C78" t="s">
        <v>214</v>
      </c>
      <c r="D78" t="s">
        <v>401</v>
      </c>
      <c r="E78">
        <v>2</v>
      </c>
      <c r="F78">
        <v>299</v>
      </c>
      <c r="G78" t="str">
        <f>IFERROR(VLOOKUP(C78, Employees!A:I, 2, FALSE), "Not Found")</f>
        <v>David Smith</v>
      </c>
      <c r="H78" t="str">
        <f>IFERROR(VLOOKUP(C78, Employees!A:I, 3, FALSE), "Not Found")</f>
        <v>Sales</v>
      </c>
      <c r="I78" t="str">
        <f>IFERROR(VLOOKUP(C78,Employees!A:I, 4, FALSE), "NOT FOUND")</f>
        <v>Coordinator</v>
      </c>
    </row>
    <row r="79" spans="1:9" x14ac:dyDescent="0.35">
      <c r="A79" t="s">
        <v>460</v>
      </c>
      <c r="B79" t="s">
        <v>461</v>
      </c>
      <c r="C79" t="s">
        <v>112</v>
      </c>
      <c r="D79" t="s">
        <v>401</v>
      </c>
      <c r="E79">
        <v>8</v>
      </c>
      <c r="F79">
        <v>999</v>
      </c>
      <c r="G79" t="str">
        <f>IFERROR(VLOOKUP(C79, Employees!A:I, 2, FALSE), "Not Found")</f>
        <v>Jennifer Smith</v>
      </c>
      <c r="H79" t="str">
        <f>IFERROR(VLOOKUP(C79, Employees!A:I, 3, FALSE), "Not Found")</f>
        <v>Sales</v>
      </c>
      <c r="I79" t="str">
        <f>IFERROR(VLOOKUP(C79,Employees!A:I, 4, FALSE), "NOT FOUND")</f>
        <v>Specialist</v>
      </c>
    </row>
    <row r="80" spans="1:9" x14ac:dyDescent="0.35">
      <c r="A80" t="s">
        <v>462</v>
      </c>
      <c r="B80" t="s">
        <v>431</v>
      </c>
      <c r="C80" t="s">
        <v>77</v>
      </c>
      <c r="D80" t="s">
        <v>389</v>
      </c>
      <c r="E80">
        <v>5</v>
      </c>
      <c r="F80">
        <v>999</v>
      </c>
      <c r="G80" t="str">
        <f>IFERROR(VLOOKUP(C80, Employees!A:I, 2, FALSE), "Not Found")</f>
        <v>Emily Davis</v>
      </c>
      <c r="H80" t="str">
        <f>IFERROR(VLOOKUP(C80, Employees!A:I, 3, FALSE), "Not Found")</f>
        <v>HR</v>
      </c>
      <c r="I80" t="str">
        <f>IFERROR(VLOOKUP(C80,Employees!A:I, 4, FALSE), "NOT FOUND")</f>
        <v>Coordinator</v>
      </c>
    </row>
    <row r="81" spans="1:9" x14ac:dyDescent="0.35">
      <c r="A81" t="s">
        <v>463</v>
      </c>
      <c r="B81" t="s">
        <v>405</v>
      </c>
      <c r="C81" t="s">
        <v>36</v>
      </c>
      <c r="D81" t="s">
        <v>299</v>
      </c>
      <c r="E81">
        <v>8</v>
      </c>
      <c r="F81">
        <v>299</v>
      </c>
      <c r="G81" t="str">
        <f>IFERROR(VLOOKUP(C81, Employees!A:I, 2, FALSE), "Not Found")</f>
        <v>Sarah Johnson</v>
      </c>
      <c r="H81" t="str">
        <f>IFERROR(VLOOKUP(C81, Employees!A:I, 3, FALSE), "Not Found")</f>
        <v>HR</v>
      </c>
      <c r="I81" t="str">
        <f>IFERROR(VLOOKUP(C81,Employees!A:I, 4, FALSE), "NOT FOUND")</f>
        <v>Analyst</v>
      </c>
    </row>
    <row r="82" spans="1:9" x14ac:dyDescent="0.35">
      <c r="A82" t="s">
        <v>464</v>
      </c>
      <c r="B82" t="s">
        <v>465</v>
      </c>
      <c r="C82" t="s">
        <v>214</v>
      </c>
      <c r="D82" t="s">
        <v>389</v>
      </c>
      <c r="E82">
        <v>3</v>
      </c>
      <c r="F82">
        <v>499</v>
      </c>
      <c r="G82" t="str">
        <f>IFERROR(VLOOKUP(C82, Employees!A:I, 2, FALSE), "Not Found")</f>
        <v>David Smith</v>
      </c>
      <c r="H82" t="str">
        <f>IFERROR(VLOOKUP(C82, Employees!A:I, 3, FALSE), "Not Found")</f>
        <v>Sales</v>
      </c>
      <c r="I82" t="str">
        <f>IFERROR(VLOOKUP(C82,Employees!A:I, 4, FALSE), "NOT FOUND")</f>
        <v>Coordinator</v>
      </c>
    </row>
    <row r="83" spans="1:9" x14ac:dyDescent="0.35">
      <c r="A83" t="s">
        <v>466</v>
      </c>
      <c r="B83" t="s">
        <v>467</v>
      </c>
      <c r="C83" t="s">
        <v>117</v>
      </c>
      <c r="D83" t="s">
        <v>327</v>
      </c>
      <c r="E83">
        <v>4</v>
      </c>
      <c r="F83">
        <v>299</v>
      </c>
      <c r="G83" t="str">
        <f>IFERROR(VLOOKUP(C83, Employees!A:I, 2, FALSE), "Not Found")</f>
        <v>Sarah Davis</v>
      </c>
      <c r="H83" t="str">
        <f>IFERROR(VLOOKUP(C83, Employees!A:I, 3, FALSE), "Not Found")</f>
        <v>Sales</v>
      </c>
      <c r="I83" t="str">
        <f>IFERROR(VLOOKUP(C83,Employees!A:I, 4, FALSE), "NOT FOUND")</f>
        <v>Director</v>
      </c>
    </row>
    <row r="84" spans="1:9" x14ac:dyDescent="0.35">
      <c r="A84" t="s">
        <v>468</v>
      </c>
      <c r="B84" t="s">
        <v>469</v>
      </c>
      <c r="C84" t="s">
        <v>252</v>
      </c>
      <c r="D84" t="s">
        <v>302</v>
      </c>
      <c r="E84">
        <v>10</v>
      </c>
      <c r="F84">
        <v>1299</v>
      </c>
      <c r="G84" t="str">
        <f>IFERROR(VLOOKUP(C84, Employees!A:I, 2, FALSE), "Not Found")</f>
        <v>David Garcia</v>
      </c>
      <c r="H84" t="str">
        <f>IFERROR(VLOOKUP(C84, Employees!A:I, 3, FALSE), "Not Found")</f>
        <v>Operations</v>
      </c>
      <c r="I84" t="str">
        <f>IFERROR(VLOOKUP(C84,Employees!A:I, 4, FALSE), "NOT FOUND")</f>
        <v>Director</v>
      </c>
    </row>
    <row r="85" spans="1:9" x14ac:dyDescent="0.35">
      <c r="A85" t="s">
        <v>470</v>
      </c>
      <c r="B85" t="s">
        <v>471</v>
      </c>
      <c r="C85" t="s">
        <v>257</v>
      </c>
      <c r="D85" t="s">
        <v>348</v>
      </c>
      <c r="E85">
        <v>7</v>
      </c>
      <c r="F85">
        <v>999</v>
      </c>
      <c r="G85" t="str">
        <f>IFERROR(VLOOKUP(C85, Employees!A:I, 2, FALSE), "Not Found")</f>
        <v>Sarah Jones</v>
      </c>
      <c r="H85" t="str">
        <f>IFERROR(VLOOKUP(C85, Employees!A:I, 3, FALSE), "Not Found")</f>
        <v>Marketing</v>
      </c>
      <c r="I85" t="str">
        <f>IFERROR(VLOOKUP(C85,Employees!A:I, 4, FALSE), "NOT FOUND")</f>
        <v>Director</v>
      </c>
    </row>
    <row r="86" spans="1:9" x14ac:dyDescent="0.35">
      <c r="A86" t="s">
        <v>472</v>
      </c>
      <c r="B86" t="s">
        <v>324</v>
      </c>
      <c r="C86" t="s">
        <v>117</v>
      </c>
      <c r="D86" t="s">
        <v>317</v>
      </c>
      <c r="E86">
        <v>7</v>
      </c>
      <c r="F86">
        <v>799</v>
      </c>
      <c r="G86" t="str">
        <f>IFERROR(VLOOKUP(C86, Employees!A:I, 2, FALSE), "Not Found")</f>
        <v>Sarah Davis</v>
      </c>
      <c r="H86" t="str">
        <f>IFERROR(VLOOKUP(C86, Employees!A:I, 3, FALSE), "Not Found")</f>
        <v>Sales</v>
      </c>
      <c r="I86" t="str">
        <f>IFERROR(VLOOKUP(C86,Employees!A:I, 4, FALSE), "NOT FOUND")</f>
        <v>Director</v>
      </c>
    </row>
    <row r="87" spans="1:9" x14ac:dyDescent="0.35">
      <c r="A87" t="s">
        <v>473</v>
      </c>
      <c r="B87" t="s">
        <v>474</v>
      </c>
      <c r="C87" t="s">
        <v>210</v>
      </c>
      <c r="D87" t="s">
        <v>389</v>
      </c>
      <c r="E87">
        <v>10</v>
      </c>
      <c r="F87">
        <v>1499</v>
      </c>
      <c r="G87" t="str">
        <f>IFERROR(VLOOKUP(C87, Employees!A:I, 2, FALSE), "Not Found")</f>
        <v>Jessica Brown</v>
      </c>
      <c r="H87" t="str">
        <f>IFERROR(VLOOKUP(C87, Employees!A:I, 3, FALSE), "Not Found")</f>
        <v>Operations</v>
      </c>
      <c r="I87" t="str">
        <f>IFERROR(VLOOKUP(C87,Employees!A:I, 4, FALSE), "NOT FOUND")</f>
        <v>Specialist</v>
      </c>
    </row>
    <row r="88" spans="1:9" x14ac:dyDescent="0.35">
      <c r="A88" t="s">
        <v>475</v>
      </c>
      <c r="B88" t="s">
        <v>476</v>
      </c>
      <c r="C88" t="s">
        <v>252</v>
      </c>
      <c r="D88" t="s">
        <v>305</v>
      </c>
      <c r="E88">
        <v>4</v>
      </c>
      <c r="F88">
        <v>799</v>
      </c>
      <c r="G88" t="str">
        <f>IFERROR(VLOOKUP(C88, Employees!A:I, 2, FALSE), "Not Found")</f>
        <v>David Garcia</v>
      </c>
      <c r="H88" t="str">
        <f>IFERROR(VLOOKUP(C88, Employees!A:I, 3, FALSE), "Not Found")</f>
        <v>Operations</v>
      </c>
      <c r="I88" t="str">
        <f>IFERROR(VLOOKUP(C88,Employees!A:I, 4, FALSE), "NOT FOUND")</f>
        <v>Director</v>
      </c>
    </row>
    <row r="89" spans="1:9" x14ac:dyDescent="0.35">
      <c r="A89" t="s">
        <v>477</v>
      </c>
      <c r="B89" t="s">
        <v>478</v>
      </c>
      <c r="C89" t="s">
        <v>71</v>
      </c>
      <c r="D89" t="s">
        <v>330</v>
      </c>
      <c r="E89">
        <v>3</v>
      </c>
      <c r="F89">
        <v>1299</v>
      </c>
      <c r="G89" t="str">
        <f>IFERROR(VLOOKUP(C89, Employees!A:I, 2, FALSE), "Not Found")</f>
        <v>Emily Smith</v>
      </c>
      <c r="H89" t="str">
        <f>IFERROR(VLOOKUP(C89, Employees!A:I, 3, FALSE), "Not Found")</f>
        <v>IT</v>
      </c>
      <c r="I89" t="str">
        <f>IFERROR(VLOOKUP(C89,Employees!A:I, 4, FALSE), "NOT FOUND")</f>
        <v>Coordinator</v>
      </c>
    </row>
    <row r="90" spans="1:9" x14ac:dyDescent="0.35">
      <c r="A90" t="s">
        <v>479</v>
      </c>
      <c r="B90" t="s">
        <v>480</v>
      </c>
      <c r="C90" t="s">
        <v>71</v>
      </c>
      <c r="D90" t="s">
        <v>333</v>
      </c>
      <c r="E90">
        <v>7</v>
      </c>
      <c r="F90">
        <v>999</v>
      </c>
      <c r="G90" t="str">
        <f>IFERROR(VLOOKUP(C90, Employees!A:I, 2, FALSE), "Not Found")</f>
        <v>Emily Smith</v>
      </c>
      <c r="H90" t="str">
        <f>IFERROR(VLOOKUP(C90, Employees!A:I, 3, FALSE), "Not Found")</f>
        <v>IT</v>
      </c>
      <c r="I90" t="str">
        <f>IFERROR(VLOOKUP(C90,Employees!A:I, 4, FALSE), "NOT FOUND")</f>
        <v>Coordinator</v>
      </c>
    </row>
    <row r="91" spans="1:9" x14ac:dyDescent="0.35">
      <c r="A91" t="s">
        <v>481</v>
      </c>
      <c r="B91" t="s">
        <v>395</v>
      </c>
      <c r="C91" t="s">
        <v>112</v>
      </c>
      <c r="D91" t="s">
        <v>389</v>
      </c>
      <c r="E91">
        <v>4</v>
      </c>
      <c r="F91">
        <v>799</v>
      </c>
      <c r="G91" t="str">
        <f>IFERROR(VLOOKUP(C91, Employees!A:I, 2, FALSE), "Not Found")</f>
        <v>Jennifer Smith</v>
      </c>
      <c r="H91" t="str">
        <f>IFERROR(VLOOKUP(C91, Employees!A:I, 3, FALSE), "Not Found")</f>
        <v>Sales</v>
      </c>
      <c r="I91" t="str">
        <f>IFERROR(VLOOKUP(C91,Employees!A:I, 4, FALSE), "NOT FOUND")</f>
        <v>Specialist</v>
      </c>
    </row>
    <row r="92" spans="1:9" x14ac:dyDescent="0.35">
      <c r="A92" t="s">
        <v>482</v>
      </c>
      <c r="B92" t="s">
        <v>483</v>
      </c>
      <c r="C92" t="s">
        <v>232</v>
      </c>
      <c r="D92" t="s">
        <v>351</v>
      </c>
      <c r="E92">
        <v>2</v>
      </c>
      <c r="F92">
        <v>1499</v>
      </c>
      <c r="G92" t="str">
        <f>IFERROR(VLOOKUP(C92, Employees!A:I, 2, FALSE), "Not Found")</f>
        <v>Sarah Garcia</v>
      </c>
      <c r="H92" t="str">
        <f>IFERROR(VLOOKUP(C92, Employees!A:I, 3, FALSE), "Not Found")</f>
        <v>Finance</v>
      </c>
      <c r="I92" t="str">
        <f>IFERROR(VLOOKUP(C92,Employees!A:I, 4, FALSE), "NOT FOUND")</f>
        <v>Coordinator</v>
      </c>
    </row>
    <row r="93" spans="1:9" x14ac:dyDescent="0.35">
      <c r="A93" t="s">
        <v>484</v>
      </c>
      <c r="B93" t="s">
        <v>485</v>
      </c>
      <c r="C93" t="s">
        <v>102</v>
      </c>
      <c r="D93" t="s">
        <v>340</v>
      </c>
      <c r="E93">
        <v>10</v>
      </c>
      <c r="F93">
        <v>1499</v>
      </c>
      <c r="G93" t="str">
        <f>IFERROR(VLOOKUP(C93, Employees!A:I, 2, FALSE), "Not Found")</f>
        <v>John Jones</v>
      </c>
      <c r="H93" t="str">
        <f>IFERROR(VLOOKUP(C93, Employees!A:I, 3, FALSE), "Not Found")</f>
        <v>Finance</v>
      </c>
      <c r="I93" t="str">
        <f>IFERROR(VLOOKUP(C93,Employees!A:I, 4, FALSE), "NOT FOUND")</f>
        <v>Manager</v>
      </c>
    </row>
    <row r="94" spans="1:9" x14ac:dyDescent="0.35">
      <c r="A94" t="s">
        <v>486</v>
      </c>
      <c r="B94" t="s">
        <v>332</v>
      </c>
      <c r="C94" t="s">
        <v>153</v>
      </c>
      <c r="D94" t="s">
        <v>417</v>
      </c>
      <c r="E94">
        <v>9</v>
      </c>
      <c r="F94">
        <v>499</v>
      </c>
      <c r="G94" t="str">
        <f>IFERROR(VLOOKUP(C94, Employees!A:I, 2, FALSE), "Not Found")</f>
        <v>David Davis</v>
      </c>
      <c r="H94" t="str">
        <f>IFERROR(VLOOKUP(C94, Employees!A:I, 3, FALSE), "Not Found")</f>
        <v>Marketing</v>
      </c>
      <c r="I94" t="str">
        <f>IFERROR(VLOOKUP(C94,Employees!A:I, 4, FALSE), "NOT FOUND")</f>
        <v>Analyst</v>
      </c>
    </row>
    <row r="95" spans="1:9" x14ac:dyDescent="0.35">
      <c r="A95" t="s">
        <v>487</v>
      </c>
      <c r="B95" t="s">
        <v>488</v>
      </c>
      <c r="C95" t="s">
        <v>107</v>
      </c>
      <c r="D95" t="s">
        <v>365</v>
      </c>
      <c r="E95">
        <v>2</v>
      </c>
      <c r="F95">
        <v>299</v>
      </c>
      <c r="G95" t="str">
        <f>IFERROR(VLOOKUP(C95, Employees!A:I, 2, FALSE), "Not Found")</f>
        <v>Jessica Brown</v>
      </c>
      <c r="H95" t="str">
        <f>IFERROR(VLOOKUP(C95, Employees!A:I, 3, FALSE), "Not Found")</f>
        <v>Marketing</v>
      </c>
      <c r="I95" t="str">
        <f>IFERROR(VLOOKUP(C95,Employees!A:I, 4, FALSE), "NOT FOUND")</f>
        <v>Specialist</v>
      </c>
    </row>
    <row r="96" spans="1:9" x14ac:dyDescent="0.35">
      <c r="A96" t="s">
        <v>489</v>
      </c>
      <c r="B96" t="s">
        <v>383</v>
      </c>
      <c r="C96" t="s">
        <v>117</v>
      </c>
      <c r="D96" t="s">
        <v>322</v>
      </c>
      <c r="E96">
        <v>10</v>
      </c>
      <c r="F96">
        <v>799</v>
      </c>
      <c r="G96" t="str">
        <f>IFERROR(VLOOKUP(C96, Employees!A:I, 2, FALSE), "Not Found")</f>
        <v>Sarah Davis</v>
      </c>
      <c r="H96" t="str">
        <f>IFERROR(VLOOKUP(C96, Employees!A:I, 3, FALSE), "Not Found")</f>
        <v>Sales</v>
      </c>
      <c r="I96" t="str">
        <f>IFERROR(VLOOKUP(C96,Employees!A:I, 4, FALSE), "NOT FOUND")</f>
        <v>Director</v>
      </c>
    </row>
    <row r="97" spans="1:9" x14ac:dyDescent="0.35">
      <c r="A97" t="s">
        <v>490</v>
      </c>
      <c r="B97" t="s">
        <v>491</v>
      </c>
      <c r="C97" t="s">
        <v>54</v>
      </c>
      <c r="D97" t="s">
        <v>351</v>
      </c>
      <c r="E97">
        <v>5</v>
      </c>
      <c r="F97">
        <v>1499</v>
      </c>
      <c r="G97" t="str">
        <f>IFERROR(VLOOKUP(C97, Employees!A:I, 2, FALSE), "Not Found")</f>
        <v>Sarah Brown</v>
      </c>
      <c r="H97" t="str">
        <f>IFERROR(VLOOKUP(C97, Employees!A:I, 3, FALSE), "Not Found")</f>
        <v>Sales</v>
      </c>
      <c r="I97" t="str">
        <f>IFERROR(VLOOKUP(C97,Employees!A:I, 4, FALSE), "NOT FOUND")</f>
        <v>Coordinator</v>
      </c>
    </row>
    <row r="98" spans="1:9" x14ac:dyDescent="0.35">
      <c r="A98" t="s">
        <v>492</v>
      </c>
      <c r="B98" t="s">
        <v>493</v>
      </c>
      <c r="C98" t="s">
        <v>107</v>
      </c>
      <c r="D98" t="s">
        <v>348</v>
      </c>
      <c r="E98">
        <v>9</v>
      </c>
      <c r="F98">
        <v>999</v>
      </c>
      <c r="G98" t="str">
        <f>IFERROR(VLOOKUP(C98, Employees!A:I, 2, FALSE), "Not Found")</f>
        <v>Jessica Brown</v>
      </c>
      <c r="H98" t="str">
        <f>IFERROR(VLOOKUP(C98, Employees!A:I, 3, FALSE), "Not Found")</f>
        <v>Marketing</v>
      </c>
      <c r="I98" t="str">
        <f>IFERROR(VLOOKUP(C98,Employees!A:I, 4, FALSE), "NOT FOUND")</f>
        <v>Specialist</v>
      </c>
    </row>
    <row r="99" spans="1:9" x14ac:dyDescent="0.35">
      <c r="A99" t="s">
        <v>494</v>
      </c>
      <c r="B99" t="s">
        <v>491</v>
      </c>
      <c r="C99" t="s">
        <v>44</v>
      </c>
      <c r="D99" t="s">
        <v>322</v>
      </c>
      <c r="E99">
        <v>1</v>
      </c>
      <c r="F99">
        <v>999</v>
      </c>
      <c r="G99" t="str">
        <f>IFERROR(VLOOKUP(C99, Employees!A:I, 2, FALSE), "Not Found")</f>
        <v>Jennifer Johnson</v>
      </c>
      <c r="H99" t="str">
        <f>IFERROR(VLOOKUP(C99, Employees!A:I, 3, FALSE), "Not Found")</f>
        <v>HR</v>
      </c>
      <c r="I99" t="str">
        <f>IFERROR(VLOOKUP(C99,Employees!A:I, 4, FALSE), "NOT FOUND")</f>
        <v>Analyst</v>
      </c>
    </row>
    <row r="100" spans="1:9" x14ac:dyDescent="0.35">
      <c r="A100" t="s">
        <v>495</v>
      </c>
      <c r="B100" t="s">
        <v>425</v>
      </c>
      <c r="C100" t="s">
        <v>205</v>
      </c>
      <c r="D100" t="s">
        <v>356</v>
      </c>
      <c r="E100">
        <v>1</v>
      </c>
      <c r="F100">
        <v>299</v>
      </c>
      <c r="G100" t="str">
        <f>IFERROR(VLOOKUP(C100, Employees!A:I, 2, FALSE), "Not Found")</f>
        <v>Sarah Williams</v>
      </c>
      <c r="H100" t="str">
        <f>IFERROR(VLOOKUP(C100, Employees!A:I, 3, FALSE), "Not Found")</f>
        <v>IT</v>
      </c>
      <c r="I100" t="str">
        <f>IFERROR(VLOOKUP(C100,Employees!A:I, 4, FALSE), "NOT FOUND")</f>
        <v>Analyst</v>
      </c>
    </row>
    <row r="101" spans="1:9" x14ac:dyDescent="0.35">
      <c r="A101" t="s">
        <v>496</v>
      </c>
      <c r="B101" t="s">
        <v>497</v>
      </c>
      <c r="C101" t="s">
        <v>227</v>
      </c>
      <c r="D101" t="s">
        <v>317</v>
      </c>
      <c r="E101">
        <v>10</v>
      </c>
      <c r="F101">
        <v>299</v>
      </c>
      <c r="G101" t="str">
        <f>IFERROR(VLOOKUP(C101, Employees!A:I, 2, FALSE), "Not Found")</f>
        <v>Robert Williams</v>
      </c>
      <c r="H101" t="str">
        <f>IFERROR(VLOOKUP(C101, Employees!A:I, 3, FALSE), "Not Found")</f>
        <v>Sales</v>
      </c>
      <c r="I101" t="str">
        <f>IFERROR(VLOOKUP(C101,Employees!A:I, 4, FALSE), "NOT FOUND")</f>
        <v>Specialist</v>
      </c>
    </row>
    <row r="102" spans="1:9" x14ac:dyDescent="0.35">
      <c r="A102" t="s">
        <v>498</v>
      </c>
      <c r="B102" t="s">
        <v>499</v>
      </c>
      <c r="C102" t="s">
        <v>196</v>
      </c>
      <c r="D102" t="s">
        <v>389</v>
      </c>
      <c r="E102">
        <v>3</v>
      </c>
      <c r="F102">
        <v>999</v>
      </c>
      <c r="G102" t="str">
        <f>IFERROR(VLOOKUP(C102, Employees!A:I, 2, FALSE), "Not Found")</f>
        <v>Sarah Brown</v>
      </c>
      <c r="H102" t="str">
        <f>IFERROR(VLOOKUP(C102, Employees!A:I, 3, FALSE), "Not Found")</f>
        <v>Finance</v>
      </c>
      <c r="I102" t="str">
        <f>IFERROR(VLOOKUP(C102,Employees!A:I, 4, FALSE), "NOT FOUND")</f>
        <v>Specialist</v>
      </c>
    </row>
    <row r="103" spans="1:9" x14ac:dyDescent="0.35">
      <c r="A103" t="s">
        <v>500</v>
      </c>
      <c r="B103" t="s">
        <v>501</v>
      </c>
      <c r="C103" t="s">
        <v>219</v>
      </c>
      <c r="D103" t="s">
        <v>351</v>
      </c>
      <c r="E103">
        <v>5</v>
      </c>
      <c r="F103">
        <v>499</v>
      </c>
      <c r="G103" t="str">
        <f>IFERROR(VLOOKUP(C103, Employees!A:I, 2, FALSE), "Not Found")</f>
        <v>David Williams</v>
      </c>
      <c r="H103" t="str">
        <f>IFERROR(VLOOKUP(C103, Employees!A:I, 3, FALSE), "Not Found")</f>
        <v>Operations</v>
      </c>
      <c r="I103" t="str">
        <f>IFERROR(VLOOKUP(C103,Employees!A:I, 4, FALSE), "NOT FOUND")</f>
        <v>Coordinator</v>
      </c>
    </row>
    <row r="104" spans="1:9" x14ac:dyDescent="0.35">
      <c r="A104" t="s">
        <v>502</v>
      </c>
      <c r="B104" t="s">
        <v>372</v>
      </c>
      <c r="C104" t="s">
        <v>153</v>
      </c>
      <c r="D104" t="s">
        <v>340</v>
      </c>
      <c r="E104">
        <v>8</v>
      </c>
      <c r="F104">
        <v>299</v>
      </c>
      <c r="G104" t="str">
        <f>IFERROR(VLOOKUP(C104, Employees!A:I, 2, FALSE), "Not Found")</f>
        <v>David Davis</v>
      </c>
      <c r="H104" t="str">
        <f>IFERROR(VLOOKUP(C104, Employees!A:I, 3, FALSE), "Not Found")</f>
        <v>Marketing</v>
      </c>
      <c r="I104" t="str">
        <f>IFERROR(VLOOKUP(C104,Employees!A:I, 4, FALSE), "NOT FOUND")</f>
        <v>Analyst</v>
      </c>
    </row>
    <row r="105" spans="1:9" x14ac:dyDescent="0.35">
      <c r="A105" t="s">
        <v>503</v>
      </c>
      <c r="B105" t="s">
        <v>395</v>
      </c>
      <c r="C105" t="s">
        <v>132</v>
      </c>
      <c r="D105" t="s">
        <v>302</v>
      </c>
      <c r="E105">
        <v>6</v>
      </c>
      <c r="F105">
        <v>799</v>
      </c>
      <c r="G105" t="str">
        <f>IFERROR(VLOOKUP(C105, Employees!A:I, 2, FALSE), "Not Found")</f>
        <v>Jessica Brown</v>
      </c>
      <c r="H105" t="str">
        <f>IFERROR(VLOOKUP(C105, Employees!A:I, 3, FALSE), "Not Found")</f>
        <v>Sales</v>
      </c>
      <c r="I105" t="str">
        <f>IFERROR(VLOOKUP(C105,Employees!A:I, 4, FALSE), "NOT FOUND")</f>
        <v>Analyst</v>
      </c>
    </row>
    <row r="106" spans="1:9" x14ac:dyDescent="0.35">
      <c r="A106" t="s">
        <v>504</v>
      </c>
      <c r="B106" t="s">
        <v>505</v>
      </c>
      <c r="C106" t="s">
        <v>71</v>
      </c>
      <c r="D106" t="s">
        <v>296</v>
      </c>
      <c r="E106">
        <v>7</v>
      </c>
      <c r="F106">
        <v>1499</v>
      </c>
      <c r="G106" t="str">
        <f>IFERROR(VLOOKUP(C106, Employees!A:I, 2, FALSE), "Not Found")</f>
        <v>Emily Smith</v>
      </c>
      <c r="H106" t="str">
        <f>IFERROR(VLOOKUP(C106, Employees!A:I, 3, FALSE), "Not Found")</f>
        <v>IT</v>
      </c>
      <c r="I106" t="str">
        <f>IFERROR(VLOOKUP(C106,Employees!A:I, 4, FALSE), "NOT FOUND")</f>
        <v>Coordinator</v>
      </c>
    </row>
    <row r="107" spans="1:9" x14ac:dyDescent="0.35">
      <c r="A107" t="s">
        <v>506</v>
      </c>
      <c r="B107" t="s">
        <v>507</v>
      </c>
      <c r="C107" t="s">
        <v>112</v>
      </c>
      <c r="D107" t="s">
        <v>299</v>
      </c>
      <c r="E107">
        <v>9</v>
      </c>
      <c r="F107">
        <v>299</v>
      </c>
      <c r="G107" t="str">
        <f>IFERROR(VLOOKUP(C107, Employees!A:I, 2, FALSE), "Not Found")</f>
        <v>Jennifer Smith</v>
      </c>
      <c r="H107" t="str">
        <f>IFERROR(VLOOKUP(C107, Employees!A:I, 3, FALSE), "Not Found")</f>
        <v>Sales</v>
      </c>
      <c r="I107" t="str">
        <f>IFERROR(VLOOKUP(C107,Employees!A:I, 4, FALSE), "NOT FOUND")</f>
        <v>Specialist</v>
      </c>
    </row>
    <row r="108" spans="1:9" x14ac:dyDescent="0.35">
      <c r="A108" t="s">
        <v>508</v>
      </c>
      <c r="B108" t="s">
        <v>509</v>
      </c>
      <c r="C108" t="s">
        <v>44</v>
      </c>
      <c r="D108" t="s">
        <v>296</v>
      </c>
      <c r="E108">
        <v>5</v>
      </c>
      <c r="F108">
        <v>799</v>
      </c>
      <c r="G108" t="str">
        <f>IFERROR(VLOOKUP(C108, Employees!A:I, 2, FALSE), "Not Found")</f>
        <v>Jennifer Johnson</v>
      </c>
      <c r="H108" t="str">
        <f>IFERROR(VLOOKUP(C108, Employees!A:I, 3, FALSE), "Not Found")</f>
        <v>HR</v>
      </c>
      <c r="I108" t="str">
        <f>IFERROR(VLOOKUP(C108,Employees!A:I, 4, FALSE), "NOT FOUND")</f>
        <v>Analyst</v>
      </c>
    </row>
    <row r="109" spans="1:9" x14ac:dyDescent="0.35">
      <c r="A109" t="s">
        <v>510</v>
      </c>
      <c r="B109" t="s">
        <v>511</v>
      </c>
      <c r="C109" t="s">
        <v>257</v>
      </c>
      <c r="D109" t="s">
        <v>299</v>
      </c>
      <c r="E109">
        <v>9</v>
      </c>
      <c r="F109">
        <v>299</v>
      </c>
      <c r="G109" t="str">
        <f>IFERROR(VLOOKUP(C109, Employees!A:I, 2, FALSE), "Not Found")</f>
        <v>Sarah Jones</v>
      </c>
      <c r="H109" t="str">
        <f>IFERROR(VLOOKUP(C109, Employees!A:I, 3, FALSE), "Not Found")</f>
        <v>Marketing</v>
      </c>
      <c r="I109" t="str">
        <f>IFERROR(VLOOKUP(C109,Employees!A:I, 4, FALSE), "NOT FOUND")</f>
        <v>Director</v>
      </c>
    </row>
    <row r="110" spans="1:9" x14ac:dyDescent="0.35">
      <c r="A110" t="s">
        <v>512</v>
      </c>
      <c r="B110" t="s">
        <v>513</v>
      </c>
      <c r="C110" t="s">
        <v>163</v>
      </c>
      <c r="D110" t="s">
        <v>302</v>
      </c>
      <c r="E110">
        <v>1</v>
      </c>
      <c r="F110">
        <v>499</v>
      </c>
      <c r="G110" t="str">
        <f>IFERROR(VLOOKUP(C110, Employees!A:I, 2, FALSE), "Not Found")</f>
        <v>John Williams</v>
      </c>
      <c r="H110" t="str">
        <f>IFERROR(VLOOKUP(C110, Employees!A:I, 3, FALSE), "Not Found")</f>
        <v>HR</v>
      </c>
      <c r="I110" t="str">
        <f>IFERROR(VLOOKUP(C110,Employees!A:I, 4, FALSE), "NOT FOUND")</f>
        <v>Analyst</v>
      </c>
    </row>
    <row r="111" spans="1:9" x14ac:dyDescent="0.35">
      <c r="A111" t="s">
        <v>514</v>
      </c>
      <c r="B111" t="s">
        <v>501</v>
      </c>
      <c r="C111" t="s">
        <v>136</v>
      </c>
      <c r="D111" t="s">
        <v>322</v>
      </c>
      <c r="E111">
        <v>8</v>
      </c>
      <c r="F111">
        <v>1499</v>
      </c>
      <c r="G111" t="str">
        <f>IFERROR(VLOOKUP(C111, Employees!A:I, 2, FALSE), "Not Found")</f>
        <v>Sarah Brown</v>
      </c>
      <c r="H111" t="str">
        <f>IFERROR(VLOOKUP(C111, Employees!A:I, 3, FALSE), "Not Found")</f>
        <v>IT</v>
      </c>
      <c r="I111" t="str">
        <f>IFERROR(VLOOKUP(C111,Employees!A:I, 4, FALSE), "NOT FOUND")</f>
        <v>Coordinator</v>
      </c>
    </row>
    <row r="112" spans="1:9" x14ac:dyDescent="0.35">
      <c r="A112" t="s">
        <v>515</v>
      </c>
      <c r="B112" t="s">
        <v>324</v>
      </c>
      <c r="C112" t="s">
        <v>252</v>
      </c>
      <c r="D112" t="s">
        <v>389</v>
      </c>
      <c r="E112">
        <v>4</v>
      </c>
      <c r="F112">
        <v>799</v>
      </c>
      <c r="G112" t="str">
        <f>IFERROR(VLOOKUP(C112, Employees!A:I, 2, FALSE), "Not Found")</f>
        <v>David Garcia</v>
      </c>
      <c r="H112" t="str">
        <f>IFERROR(VLOOKUP(C112, Employees!A:I, 3, FALSE), "Not Found")</f>
        <v>Operations</v>
      </c>
      <c r="I112" t="str">
        <f>IFERROR(VLOOKUP(C112,Employees!A:I, 4, FALSE), "NOT FOUND")</f>
        <v>Director</v>
      </c>
    </row>
    <row r="113" spans="1:9" x14ac:dyDescent="0.35">
      <c r="A113" t="s">
        <v>516</v>
      </c>
      <c r="B113" t="s">
        <v>443</v>
      </c>
      <c r="C113" t="s">
        <v>61</v>
      </c>
      <c r="D113" t="s">
        <v>310</v>
      </c>
      <c r="E113">
        <v>8</v>
      </c>
      <c r="F113">
        <v>1499</v>
      </c>
      <c r="G113" t="str">
        <f>IFERROR(VLOOKUP(C113, Employees!A:I, 2, FALSE), "Not Found")</f>
        <v>Lisa Brown</v>
      </c>
      <c r="H113" t="str">
        <f>IFERROR(VLOOKUP(C113, Employees!A:I, 3, FALSE), "Not Found")</f>
        <v>Operations</v>
      </c>
      <c r="I113" t="str">
        <f>IFERROR(VLOOKUP(C113,Employees!A:I, 4, FALSE), "NOT FOUND")</f>
        <v>Specialist</v>
      </c>
    </row>
    <row r="114" spans="1:9" x14ac:dyDescent="0.35">
      <c r="A114" t="s">
        <v>517</v>
      </c>
      <c r="B114" t="s">
        <v>518</v>
      </c>
      <c r="C114" t="s">
        <v>54</v>
      </c>
      <c r="D114" t="s">
        <v>333</v>
      </c>
      <c r="E114">
        <v>10</v>
      </c>
      <c r="F114">
        <v>499</v>
      </c>
      <c r="G114" t="str">
        <f>IFERROR(VLOOKUP(C114, Employees!A:I, 2, FALSE), "Not Found")</f>
        <v>Sarah Brown</v>
      </c>
      <c r="H114" t="str">
        <f>IFERROR(VLOOKUP(C114, Employees!A:I, 3, FALSE), "Not Found")</f>
        <v>Sales</v>
      </c>
      <c r="I114" t="str">
        <f>IFERROR(VLOOKUP(C114,Employees!A:I, 4, FALSE), "NOT FOUND")</f>
        <v>Coordinator</v>
      </c>
    </row>
    <row r="115" spans="1:9" x14ac:dyDescent="0.35">
      <c r="A115" t="s">
        <v>519</v>
      </c>
      <c r="B115" t="s">
        <v>520</v>
      </c>
      <c r="C115" t="s">
        <v>117</v>
      </c>
      <c r="D115" t="s">
        <v>354</v>
      </c>
      <c r="E115">
        <v>1</v>
      </c>
      <c r="F115">
        <v>1299</v>
      </c>
      <c r="G115" t="str">
        <f>IFERROR(VLOOKUP(C115, Employees!A:I, 2, FALSE), "Not Found")</f>
        <v>Sarah Davis</v>
      </c>
      <c r="H115" t="str">
        <f>IFERROR(VLOOKUP(C115, Employees!A:I, 3, FALSE), "Not Found")</f>
        <v>Sales</v>
      </c>
      <c r="I115" t="str">
        <f>IFERROR(VLOOKUP(C115,Employees!A:I, 4, FALSE), "NOT FOUND")</f>
        <v>Director</v>
      </c>
    </row>
    <row r="116" spans="1:9" x14ac:dyDescent="0.35">
      <c r="A116" t="s">
        <v>521</v>
      </c>
      <c r="B116" t="s">
        <v>435</v>
      </c>
      <c r="C116" t="s">
        <v>44</v>
      </c>
      <c r="D116" t="s">
        <v>330</v>
      </c>
      <c r="E116">
        <v>2</v>
      </c>
      <c r="F116">
        <v>999</v>
      </c>
      <c r="G116" t="str">
        <f>IFERROR(VLOOKUP(C116, Employees!A:I, 2, FALSE), "Not Found")</f>
        <v>Jennifer Johnson</v>
      </c>
      <c r="H116" t="str">
        <f>IFERROR(VLOOKUP(C116, Employees!A:I, 3, FALSE), "Not Found")</f>
        <v>HR</v>
      </c>
      <c r="I116" t="str">
        <f>IFERROR(VLOOKUP(C116,Employees!A:I, 4, FALSE), "NOT FOUND")</f>
        <v>Analyst</v>
      </c>
    </row>
    <row r="117" spans="1:9" x14ac:dyDescent="0.35">
      <c r="A117" t="s">
        <v>522</v>
      </c>
      <c r="B117" t="s">
        <v>523</v>
      </c>
      <c r="C117" t="s">
        <v>219</v>
      </c>
      <c r="D117" t="s">
        <v>365</v>
      </c>
      <c r="E117">
        <v>8</v>
      </c>
      <c r="F117">
        <v>1499</v>
      </c>
      <c r="G117" t="str">
        <f>IFERROR(VLOOKUP(C117, Employees!A:I, 2, FALSE), "Not Found")</f>
        <v>David Williams</v>
      </c>
      <c r="H117" t="str">
        <f>IFERROR(VLOOKUP(C117, Employees!A:I, 3, FALSE), "Not Found")</f>
        <v>Operations</v>
      </c>
      <c r="I117" t="str">
        <f>IFERROR(VLOOKUP(C117,Employees!A:I, 4, FALSE), "NOT FOUND")</f>
        <v>Coordinator</v>
      </c>
    </row>
    <row r="118" spans="1:9" x14ac:dyDescent="0.35">
      <c r="A118" t="s">
        <v>524</v>
      </c>
      <c r="B118" t="s">
        <v>525</v>
      </c>
      <c r="C118" t="s">
        <v>177</v>
      </c>
      <c r="D118" t="s">
        <v>356</v>
      </c>
      <c r="E118">
        <v>7</v>
      </c>
      <c r="F118">
        <v>999</v>
      </c>
      <c r="G118" t="str">
        <f>IFERROR(VLOOKUP(C118, Employees!A:I, 2, FALSE), "Not Found")</f>
        <v>Michael Smith</v>
      </c>
      <c r="H118" t="str">
        <f>IFERROR(VLOOKUP(C118, Employees!A:I, 3, FALSE), "Not Found")</f>
        <v>Finance</v>
      </c>
      <c r="I118" t="str">
        <f>IFERROR(VLOOKUP(C118,Employees!A:I, 4, FALSE), "NOT FOUND")</f>
        <v>Analyst</v>
      </c>
    </row>
    <row r="119" spans="1:9" x14ac:dyDescent="0.35">
      <c r="A119" t="s">
        <v>526</v>
      </c>
      <c r="B119" t="s">
        <v>527</v>
      </c>
      <c r="C119" t="s">
        <v>97</v>
      </c>
      <c r="D119" t="s">
        <v>351</v>
      </c>
      <c r="E119">
        <v>9</v>
      </c>
      <c r="F119">
        <v>499</v>
      </c>
      <c r="G119" t="str">
        <f>IFERROR(VLOOKUP(C119, Employees!A:I, 2, FALSE), "Not Found")</f>
        <v>Sarah Jones</v>
      </c>
      <c r="H119" t="str">
        <f>IFERROR(VLOOKUP(C119, Employees!A:I, 3, FALSE), "Not Found")</f>
        <v>Operations</v>
      </c>
      <c r="I119" t="str">
        <f>IFERROR(VLOOKUP(C119,Employees!A:I, 4, FALSE), "NOT FOUND")</f>
        <v>Specialist</v>
      </c>
    </row>
    <row r="120" spans="1:9" x14ac:dyDescent="0.35">
      <c r="A120" t="s">
        <v>528</v>
      </c>
      <c r="B120" t="s">
        <v>367</v>
      </c>
      <c r="C120" t="s">
        <v>82</v>
      </c>
      <c r="D120" t="s">
        <v>322</v>
      </c>
      <c r="E120">
        <v>9</v>
      </c>
      <c r="F120">
        <v>1499</v>
      </c>
      <c r="G120" t="str">
        <f>IFERROR(VLOOKUP(C120, Employees!A:I, 2, FALSE), "Not Found")</f>
        <v>David Miller</v>
      </c>
      <c r="H120" t="str">
        <f>IFERROR(VLOOKUP(C120, Employees!A:I, 3, FALSE), "Not Found")</f>
        <v>Finance</v>
      </c>
      <c r="I120" t="str">
        <f>IFERROR(VLOOKUP(C120,Employees!A:I, 4, FALSE), "NOT FOUND")</f>
        <v>Coordinator</v>
      </c>
    </row>
    <row r="121" spans="1:9" x14ac:dyDescent="0.35">
      <c r="A121" t="s">
        <v>529</v>
      </c>
      <c r="B121" t="s">
        <v>530</v>
      </c>
      <c r="C121" t="s">
        <v>36</v>
      </c>
      <c r="D121" t="s">
        <v>356</v>
      </c>
      <c r="E121">
        <v>7</v>
      </c>
      <c r="F121">
        <v>799</v>
      </c>
      <c r="G121" t="str">
        <f>IFERROR(VLOOKUP(C121, Employees!A:I, 2, FALSE), "Not Found")</f>
        <v>Sarah Johnson</v>
      </c>
      <c r="H121" t="str">
        <f>IFERROR(VLOOKUP(C121, Employees!A:I, 3, FALSE), "Not Found")</f>
        <v>HR</v>
      </c>
      <c r="I121" t="str">
        <f>IFERROR(VLOOKUP(C121,Employees!A:I, 4, FALSE), "NOT FOUND")</f>
        <v>Analyst</v>
      </c>
    </row>
    <row r="122" spans="1:9" x14ac:dyDescent="0.35">
      <c r="A122" t="s">
        <v>531</v>
      </c>
      <c r="B122" t="s">
        <v>532</v>
      </c>
      <c r="C122" t="s">
        <v>107</v>
      </c>
      <c r="D122" t="s">
        <v>333</v>
      </c>
      <c r="E122">
        <v>5</v>
      </c>
      <c r="F122">
        <v>1499</v>
      </c>
      <c r="G122" t="str">
        <f>IFERROR(VLOOKUP(C122, Employees!A:I, 2, FALSE), "Not Found")</f>
        <v>Jessica Brown</v>
      </c>
      <c r="H122" t="str">
        <f>IFERROR(VLOOKUP(C122, Employees!A:I, 3, FALSE), "Not Found")</f>
        <v>Marketing</v>
      </c>
      <c r="I122" t="str">
        <f>IFERROR(VLOOKUP(C122,Employees!A:I, 4, FALSE), "NOT FOUND")</f>
        <v>Specialist</v>
      </c>
    </row>
    <row r="123" spans="1:9" x14ac:dyDescent="0.35">
      <c r="A123" t="s">
        <v>533</v>
      </c>
      <c r="B123" t="s">
        <v>534</v>
      </c>
      <c r="C123" t="s">
        <v>200</v>
      </c>
      <c r="D123" t="s">
        <v>317</v>
      </c>
      <c r="E123">
        <v>8</v>
      </c>
      <c r="F123">
        <v>499</v>
      </c>
      <c r="G123" t="str">
        <f>IFERROR(VLOOKUP(C123, Employees!A:I, 2, FALSE), "Not Found")</f>
        <v>David Williams</v>
      </c>
      <c r="H123" t="str">
        <f>IFERROR(VLOOKUP(C123, Employees!A:I, 3, FALSE), "Not Found")</f>
        <v>HR</v>
      </c>
      <c r="I123" t="str">
        <f>IFERROR(VLOOKUP(C123,Employees!A:I, 4, FALSE), "NOT FOUND")</f>
        <v>Director</v>
      </c>
    </row>
    <row r="124" spans="1:9" x14ac:dyDescent="0.35">
      <c r="A124" t="s">
        <v>535</v>
      </c>
      <c r="B124" t="s">
        <v>536</v>
      </c>
      <c r="C124" t="s">
        <v>187</v>
      </c>
      <c r="D124" t="s">
        <v>401</v>
      </c>
      <c r="E124">
        <v>6</v>
      </c>
      <c r="F124">
        <v>799</v>
      </c>
      <c r="G124" t="str">
        <f>IFERROR(VLOOKUP(C124, Employees!A:I, 2, FALSE), "Not Found")</f>
        <v>Robert Garcia</v>
      </c>
      <c r="H124" t="str">
        <f>IFERROR(VLOOKUP(C124, Employees!A:I, 3, FALSE), "Not Found")</f>
        <v>IT</v>
      </c>
      <c r="I124" t="str">
        <f>IFERROR(VLOOKUP(C124,Employees!A:I, 4, FALSE), "NOT FOUND")</f>
        <v>Manager</v>
      </c>
    </row>
    <row r="125" spans="1:9" x14ac:dyDescent="0.35">
      <c r="A125" t="s">
        <v>537</v>
      </c>
      <c r="B125" t="s">
        <v>538</v>
      </c>
      <c r="C125" t="s">
        <v>252</v>
      </c>
      <c r="D125" t="s">
        <v>354</v>
      </c>
      <c r="E125">
        <v>7</v>
      </c>
      <c r="F125">
        <v>999</v>
      </c>
      <c r="G125" t="str">
        <f>IFERROR(VLOOKUP(C125, Employees!A:I, 2, FALSE), "Not Found")</f>
        <v>David Garcia</v>
      </c>
      <c r="H125" t="str">
        <f>IFERROR(VLOOKUP(C125, Employees!A:I, 3, FALSE), "Not Found")</f>
        <v>Operations</v>
      </c>
      <c r="I125" t="str">
        <f>IFERROR(VLOOKUP(C125,Employees!A:I, 4, FALSE), "NOT FOUND")</f>
        <v>Director</v>
      </c>
    </row>
    <row r="126" spans="1:9" x14ac:dyDescent="0.35">
      <c r="A126" t="s">
        <v>539</v>
      </c>
      <c r="B126" t="s">
        <v>540</v>
      </c>
      <c r="C126" t="s">
        <v>82</v>
      </c>
      <c r="D126" t="s">
        <v>330</v>
      </c>
      <c r="E126">
        <v>10</v>
      </c>
      <c r="F126">
        <v>999</v>
      </c>
      <c r="G126" t="str">
        <f>IFERROR(VLOOKUP(C126, Employees!A:I, 2, FALSE), "Not Found")</f>
        <v>David Miller</v>
      </c>
      <c r="H126" t="str">
        <f>IFERROR(VLOOKUP(C126, Employees!A:I, 3, FALSE), "Not Found")</f>
        <v>Finance</v>
      </c>
      <c r="I126" t="str">
        <f>IFERROR(VLOOKUP(C126,Employees!A:I, 4, FALSE), "NOT FOUND")</f>
        <v>Coordinator</v>
      </c>
    </row>
    <row r="127" spans="1:9" x14ac:dyDescent="0.35">
      <c r="A127" t="s">
        <v>541</v>
      </c>
      <c r="B127" t="s">
        <v>485</v>
      </c>
      <c r="C127" t="s">
        <v>257</v>
      </c>
      <c r="D127" t="s">
        <v>302</v>
      </c>
      <c r="E127">
        <v>1</v>
      </c>
      <c r="F127">
        <v>799</v>
      </c>
      <c r="G127" t="str">
        <f>IFERROR(VLOOKUP(C127, Employees!A:I, 2, FALSE), "Not Found")</f>
        <v>Sarah Jones</v>
      </c>
      <c r="H127" t="str">
        <f>IFERROR(VLOOKUP(C127, Employees!A:I, 3, FALSE), "Not Found")</f>
        <v>Marketing</v>
      </c>
      <c r="I127" t="str">
        <f>IFERROR(VLOOKUP(C127,Employees!A:I, 4, FALSE), "NOT FOUND")</f>
        <v>Director</v>
      </c>
    </row>
    <row r="128" spans="1:9" x14ac:dyDescent="0.35">
      <c r="A128" t="s">
        <v>542</v>
      </c>
      <c r="B128" t="s">
        <v>543</v>
      </c>
      <c r="C128" t="s">
        <v>237</v>
      </c>
      <c r="D128" t="s">
        <v>299</v>
      </c>
      <c r="E128">
        <v>7</v>
      </c>
      <c r="F128">
        <v>1499</v>
      </c>
      <c r="G128" t="str">
        <f>IFERROR(VLOOKUP(C128, Employees!A:I, 2, FALSE), "Not Found")</f>
        <v>Robert Smith</v>
      </c>
      <c r="H128" t="str">
        <f>IFERROR(VLOOKUP(C128, Employees!A:I, 3, FALSE), "Not Found")</f>
        <v>Marketing</v>
      </c>
      <c r="I128" t="str">
        <f>IFERROR(VLOOKUP(C128,Employees!A:I, 4, FALSE), "NOT FOUND")</f>
        <v>Specialist</v>
      </c>
    </row>
    <row r="129" spans="1:9" x14ac:dyDescent="0.35">
      <c r="A129" t="s">
        <v>544</v>
      </c>
      <c r="B129" t="s">
        <v>545</v>
      </c>
      <c r="C129" t="s">
        <v>172</v>
      </c>
      <c r="D129" t="s">
        <v>389</v>
      </c>
      <c r="E129">
        <v>3</v>
      </c>
      <c r="F129">
        <v>1299</v>
      </c>
      <c r="G129" t="str">
        <f>IFERROR(VLOOKUP(C129, Employees!A:I, 2, FALSE), "Not Found")</f>
        <v>John Garcia</v>
      </c>
      <c r="H129" t="str">
        <f>IFERROR(VLOOKUP(C129, Employees!A:I, 3, FALSE), "Not Found")</f>
        <v>Sales</v>
      </c>
      <c r="I129" t="str">
        <f>IFERROR(VLOOKUP(C129,Employees!A:I, 4, FALSE), "NOT FOUND")</f>
        <v>Analyst</v>
      </c>
    </row>
    <row r="130" spans="1:9" x14ac:dyDescent="0.35">
      <c r="A130" t="s">
        <v>546</v>
      </c>
      <c r="B130" t="s">
        <v>547</v>
      </c>
      <c r="C130" t="s">
        <v>49</v>
      </c>
      <c r="D130" t="s">
        <v>351</v>
      </c>
      <c r="E130">
        <v>2</v>
      </c>
      <c r="F130">
        <v>1299</v>
      </c>
      <c r="G130" t="str">
        <f>IFERROR(VLOOKUP(C130, Employees!A:I, 2, FALSE), "Not Found")</f>
        <v>Jessica Brown</v>
      </c>
      <c r="H130" t="str">
        <f>IFERROR(VLOOKUP(C130, Employees!A:I, 3, FALSE), "Not Found")</f>
        <v>Operations</v>
      </c>
      <c r="I130" t="str">
        <f>IFERROR(VLOOKUP(C130,Employees!A:I, 4, FALSE), "NOT FOUND")</f>
        <v>Analyst</v>
      </c>
    </row>
    <row r="131" spans="1:9" x14ac:dyDescent="0.35">
      <c r="A131" t="s">
        <v>548</v>
      </c>
      <c r="B131" t="s">
        <v>549</v>
      </c>
      <c r="C131" t="s">
        <v>9</v>
      </c>
      <c r="D131" t="s">
        <v>365</v>
      </c>
      <c r="E131">
        <v>7</v>
      </c>
      <c r="F131">
        <v>1499</v>
      </c>
      <c r="G131" t="str">
        <f>IFERROR(VLOOKUP(C131, Employees!A:I, 2, FALSE), "Not Found")</f>
        <v>Sarah Smith</v>
      </c>
      <c r="H131" t="str">
        <f>IFERROR(VLOOKUP(C131, Employees!A:I, 3, FALSE), "Not Found")</f>
        <v>Operations</v>
      </c>
      <c r="I131" t="str">
        <f>IFERROR(VLOOKUP(C131,Employees!A:I, 4, FALSE), "NOT FOUND")</f>
        <v>Specialist</v>
      </c>
    </row>
    <row r="132" spans="1:9" x14ac:dyDescent="0.35">
      <c r="A132" t="s">
        <v>550</v>
      </c>
      <c r="B132" t="s">
        <v>551</v>
      </c>
      <c r="C132" t="s">
        <v>36</v>
      </c>
      <c r="D132" t="s">
        <v>401</v>
      </c>
      <c r="E132">
        <v>5</v>
      </c>
      <c r="F132">
        <v>799</v>
      </c>
      <c r="G132" t="str">
        <f>IFERROR(VLOOKUP(C132, Employees!A:I, 2, FALSE), "Not Found")</f>
        <v>Sarah Johnson</v>
      </c>
      <c r="H132" t="str">
        <f>IFERROR(VLOOKUP(C132, Employees!A:I, 3, FALSE), "Not Found")</f>
        <v>HR</v>
      </c>
      <c r="I132" t="str">
        <f>IFERROR(VLOOKUP(C132,Employees!A:I, 4, FALSE), "NOT FOUND")</f>
        <v>Analyst</v>
      </c>
    </row>
    <row r="133" spans="1:9" x14ac:dyDescent="0.35">
      <c r="A133" t="s">
        <v>552</v>
      </c>
      <c r="B133" t="s">
        <v>553</v>
      </c>
      <c r="C133" t="s">
        <v>219</v>
      </c>
      <c r="D133" t="s">
        <v>327</v>
      </c>
      <c r="E133">
        <v>6</v>
      </c>
      <c r="F133">
        <v>1499</v>
      </c>
      <c r="G133" t="str">
        <f>IFERROR(VLOOKUP(C133, Employees!A:I, 2, FALSE), "Not Found")</f>
        <v>David Williams</v>
      </c>
      <c r="H133" t="str">
        <f>IFERROR(VLOOKUP(C133, Employees!A:I, 3, FALSE), "Not Found")</f>
        <v>Operations</v>
      </c>
      <c r="I133" t="str">
        <f>IFERROR(VLOOKUP(C133,Employees!A:I, 4, FALSE), "NOT FOUND")</f>
        <v>Coordinator</v>
      </c>
    </row>
    <row r="134" spans="1:9" x14ac:dyDescent="0.35">
      <c r="A134" t="s">
        <v>554</v>
      </c>
      <c r="B134" t="s">
        <v>555</v>
      </c>
      <c r="C134" t="s">
        <v>140</v>
      </c>
      <c r="D134" t="s">
        <v>296</v>
      </c>
      <c r="E134">
        <v>8</v>
      </c>
      <c r="F134">
        <v>1299</v>
      </c>
      <c r="G134" t="str">
        <f>IFERROR(VLOOKUP(C134, Employees!A:I, 2, FALSE), "Not Found")</f>
        <v>Emily Davis</v>
      </c>
      <c r="H134" t="str">
        <f>IFERROR(VLOOKUP(C134, Employees!A:I, 3, FALSE), "Not Found")</f>
        <v>HR</v>
      </c>
      <c r="I134" t="str">
        <f>IFERROR(VLOOKUP(C134,Employees!A:I, 4, FALSE), "NOT FOUND")</f>
        <v>Manager</v>
      </c>
    </row>
    <row r="135" spans="1:9" x14ac:dyDescent="0.35">
      <c r="A135" t="s">
        <v>556</v>
      </c>
      <c r="B135" t="s">
        <v>557</v>
      </c>
      <c r="C135" t="s">
        <v>210</v>
      </c>
      <c r="D135" t="s">
        <v>327</v>
      </c>
      <c r="E135">
        <v>4</v>
      </c>
      <c r="F135">
        <v>1499</v>
      </c>
      <c r="G135" t="str">
        <f>IFERROR(VLOOKUP(C135, Employees!A:I, 2, FALSE), "Not Found")</f>
        <v>Jessica Brown</v>
      </c>
      <c r="H135" t="str">
        <f>IFERROR(VLOOKUP(C135, Employees!A:I, 3, FALSE), "Not Found")</f>
        <v>Operations</v>
      </c>
      <c r="I135" t="str">
        <f>IFERROR(VLOOKUP(C135,Employees!A:I, 4, FALSE), "NOT FOUND")</f>
        <v>Specialist</v>
      </c>
    </row>
    <row r="136" spans="1:9" x14ac:dyDescent="0.35">
      <c r="A136" t="s">
        <v>558</v>
      </c>
      <c r="B136" t="s">
        <v>559</v>
      </c>
      <c r="C136" t="s">
        <v>92</v>
      </c>
      <c r="D136" t="s">
        <v>327</v>
      </c>
      <c r="E136">
        <v>7</v>
      </c>
      <c r="F136">
        <v>299</v>
      </c>
      <c r="G136" t="str">
        <f>IFERROR(VLOOKUP(C136, Employees!A:I, 2, FALSE), "Not Found")</f>
        <v>Robert Miller</v>
      </c>
      <c r="H136" t="str">
        <f>IFERROR(VLOOKUP(C136, Employees!A:I, 3, FALSE), "Not Found")</f>
        <v>Finance</v>
      </c>
      <c r="I136" t="str">
        <f>IFERROR(VLOOKUP(C136,Employees!A:I, 4, FALSE), "NOT FOUND")</f>
        <v>Coordinator</v>
      </c>
    </row>
    <row r="137" spans="1:9" x14ac:dyDescent="0.35">
      <c r="A137" t="s">
        <v>560</v>
      </c>
      <c r="B137" t="s">
        <v>561</v>
      </c>
      <c r="C137" t="s">
        <v>158</v>
      </c>
      <c r="D137" t="s">
        <v>343</v>
      </c>
      <c r="E137">
        <v>5</v>
      </c>
      <c r="F137">
        <v>299</v>
      </c>
      <c r="G137" t="str">
        <f>IFERROR(VLOOKUP(C137, Employees!A:I, 2, FALSE), "Not Found")</f>
        <v>John Johnson</v>
      </c>
      <c r="H137" t="str">
        <f>IFERROR(VLOOKUP(C137, Employees!A:I, 3, FALSE), "Not Found")</f>
        <v>Marketing</v>
      </c>
      <c r="I137" t="str">
        <f>IFERROR(VLOOKUP(C137,Employees!A:I, 4, FALSE), "NOT FOUND")</f>
        <v>Manager</v>
      </c>
    </row>
    <row r="138" spans="1:9" x14ac:dyDescent="0.35">
      <c r="A138" t="s">
        <v>562</v>
      </c>
      <c r="B138" t="s">
        <v>457</v>
      </c>
      <c r="C138" t="s">
        <v>123</v>
      </c>
      <c r="D138" t="s">
        <v>389</v>
      </c>
      <c r="E138">
        <v>5</v>
      </c>
      <c r="F138">
        <v>799</v>
      </c>
      <c r="G138" t="str">
        <f>IFERROR(VLOOKUP(C138, Employees!A:I, 2, FALSE), "Not Found")</f>
        <v>David Miller</v>
      </c>
      <c r="H138" t="str">
        <f>IFERROR(VLOOKUP(C138, Employees!A:I, 3, FALSE), "Not Found")</f>
        <v>Marketing</v>
      </c>
      <c r="I138" t="str">
        <f>IFERROR(VLOOKUP(C138,Employees!A:I, 4, FALSE), "NOT FOUND")</f>
        <v>Director</v>
      </c>
    </row>
    <row r="139" spans="1:9" x14ac:dyDescent="0.35">
      <c r="A139" t="s">
        <v>563</v>
      </c>
      <c r="B139" t="s">
        <v>564</v>
      </c>
      <c r="C139" t="s">
        <v>153</v>
      </c>
      <c r="D139" t="s">
        <v>365</v>
      </c>
      <c r="E139">
        <v>4</v>
      </c>
      <c r="F139">
        <v>1299</v>
      </c>
      <c r="G139" t="str">
        <f>IFERROR(VLOOKUP(C139, Employees!A:I, 2, FALSE), "Not Found")</f>
        <v>David Davis</v>
      </c>
      <c r="H139" t="str">
        <f>IFERROR(VLOOKUP(C139, Employees!A:I, 3, FALSE), "Not Found")</f>
        <v>Marketing</v>
      </c>
      <c r="I139" t="str">
        <f>IFERROR(VLOOKUP(C139,Employees!A:I, 4, FALSE), "NOT FOUND")</f>
        <v>Analyst</v>
      </c>
    </row>
    <row r="140" spans="1:9" x14ac:dyDescent="0.35">
      <c r="A140" t="s">
        <v>565</v>
      </c>
      <c r="B140" t="s">
        <v>566</v>
      </c>
      <c r="C140" t="s">
        <v>196</v>
      </c>
      <c r="D140" t="s">
        <v>343</v>
      </c>
      <c r="E140">
        <v>3</v>
      </c>
      <c r="F140">
        <v>499</v>
      </c>
      <c r="G140" t="str">
        <f>IFERROR(VLOOKUP(C140, Employees!A:I, 2, FALSE), "Not Found")</f>
        <v>Sarah Brown</v>
      </c>
      <c r="H140" t="str">
        <f>IFERROR(VLOOKUP(C140, Employees!A:I, 3, FALSE), "Not Found")</f>
        <v>Finance</v>
      </c>
      <c r="I140" t="str">
        <f>IFERROR(VLOOKUP(C140,Employees!A:I, 4, FALSE), "NOT FOUND")</f>
        <v>Specialist</v>
      </c>
    </row>
    <row r="141" spans="1:9" x14ac:dyDescent="0.35">
      <c r="A141" t="s">
        <v>567</v>
      </c>
      <c r="B141" t="s">
        <v>568</v>
      </c>
      <c r="C141" t="s">
        <v>210</v>
      </c>
      <c r="D141" t="s">
        <v>299</v>
      </c>
      <c r="E141">
        <v>10</v>
      </c>
      <c r="F141">
        <v>1499</v>
      </c>
      <c r="G141" t="str">
        <f>IFERROR(VLOOKUP(C141, Employees!A:I, 2, FALSE), "Not Found")</f>
        <v>Jessica Brown</v>
      </c>
      <c r="H141" t="str">
        <f>IFERROR(VLOOKUP(C141, Employees!A:I, 3, FALSE), "Not Found")</f>
        <v>Operations</v>
      </c>
      <c r="I141" t="str">
        <f>IFERROR(VLOOKUP(C141,Employees!A:I, 4, FALSE), "NOT FOUND")</f>
        <v>Specialist</v>
      </c>
    </row>
    <row r="142" spans="1:9" x14ac:dyDescent="0.35">
      <c r="A142" t="s">
        <v>569</v>
      </c>
      <c r="B142" t="s">
        <v>570</v>
      </c>
      <c r="C142" t="s">
        <v>172</v>
      </c>
      <c r="D142" t="s">
        <v>317</v>
      </c>
      <c r="E142">
        <v>3</v>
      </c>
      <c r="F142">
        <v>499</v>
      </c>
      <c r="G142" t="str">
        <f>IFERROR(VLOOKUP(C142, Employees!A:I, 2, FALSE), "Not Found")</f>
        <v>John Garcia</v>
      </c>
      <c r="H142" t="str">
        <f>IFERROR(VLOOKUP(C142, Employees!A:I, 3, FALSE), "Not Found")</f>
        <v>Sales</v>
      </c>
      <c r="I142" t="str">
        <f>IFERROR(VLOOKUP(C142,Employees!A:I, 4, FALSE), "NOT FOUND")</f>
        <v>Analyst</v>
      </c>
    </row>
    <row r="143" spans="1:9" x14ac:dyDescent="0.35">
      <c r="A143" t="s">
        <v>571</v>
      </c>
      <c r="B143" t="s">
        <v>388</v>
      </c>
      <c r="C143" t="s">
        <v>214</v>
      </c>
      <c r="D143" t="s">
        <v>356</v>
      </c>
      <c r="E143">
        <v>8</v>
      </c>
      <c r="F143">
        <v>799</v>
      </c>
      <c r="G143" t="str">
        <f>IFERROR(VLOOKUP(C143, Employees!A:I, 2, FALSE), "Not Found")</f>
        <v>David Smith</v>
      </c>
      <c r="H143" t="str">
        <f>IFERROR(VLOOKUP(C143, Employees!A:I, 3, FALSE), "Not Found")</f>
        <v>Sales</v>
      </c>
      <c r="I143" t="str">
        <f>IFERROR(VLOOKUP(C143,Employees!A:I, 4, FALSE), "NOT FOUND")</f>
        <v>Coordinator</v>
      </c>
    </row>
    <row r="144" spans="1:9" x14ac:dyDescent="0.35">
      <c r="A144" t="s">
        <v>572</v>
      </c>
      <c r="B144" t="s">
        <v>573</v>
      </c>
      <c r="C144" t="s">
        <v>163</v>
      </c>
      <c r="D144" t="s">
        <v>310</v>
      </c>
      <c r="E144">
        <v>9</v>
      </c>
      <c r="F144">
        <v>499</v>
      </c>
      <c r="G144" t="str">
        <f>IFERROR(VLOOKUP(C144, Employees!A:I, 2, FALSE), "Not Found")</f>
        <v>John Williams</v>
      </c>
      <c r="H144" t="str">
        <f>IFERROR(VLOOKUP(C144, Employees!A:I, 3, FALSE), "Not Found")</f>
        <v>HR</v>
      </c>
      <c r="I144" t="str">
        <f>IFERROR(VLOOKUP(C144,Employees!A:I, 4, FALSE), "NOT FOUND")</f>
        <v>Analyst</v>
      </c>
    </row>
    <row r="145" spans="1:9" x14ac:dyDescent="0.35">
      <c r="A145" t="s">
        <v>574</v>
      </c>
      <c r="B145" t="s">
        <v>575</v>
      </c>
      <c r="C145" t="s">
        <v>158</v>
      </c>
      <c r="D145" t="s">
        <v>375</v>
      </c>
      <c r="E145">
        <v>10</v>
      </c>
      <c r="F145">
        <v>799</v>
      </c>
      <c r="G145" t="str">
        <f>IFERROR(VLOOKUP(C145, Employees!A:I, 2, FALSE), "Not Found")</f>
        <v>John Johnson</v>
      </c>
      <c r="H145" t="str">
        <f>IFERROR(VLOOKUP(C145, Employees!A:I, 3, FALSE), "Not Found")</f>
        <v>Marketing</v>
      </c>
      <c r="I145" t="str">
        <f>IFERROR(VLOOKUP(C145,Employees!A:I, 4, FALSE), "NOT FOUND")</f>
        <v>Manager</v>
      </c>
    </row>
    <row r="146" spans="1:9" x14ac:dyDescent="0.35">
      <c r="A146" t="s">
        <v>576</v>
      </c>
      <c r="B146" t="s">
        <v>342</v>
      </c>
      <c r="C146" t="s">
        <v>232</v>
      </c>
      <c r="D146" t="s">
        <v>356</v>
      </c>
      <c r="E146">
        <v>8</v>
      </c>
      <c r="F146">
        <v>799</v>
      </c>
      <c r="G146" t="str">
        <f>IFERROR(VLOOKUP(C146, Employees!A:I, 2, FALSE), "Not Found")</f>
        <v>Sarah Garcia</v>
      </c>
      <c r="H146" t="str">
        <f>IFERROR(VLOOKUP(C146, Employees!A:I, 3, FALSE), "Not Found")</f>
        <v>Finance</v>
      </c>
      <c r="I146" t="str">
        <f>IFERROR(VLOOKUP(C146,Employees!A:I, 4, FALSE), "NOT FOUND")</f>
        <v>Coordinator</v>
      </c>
    </row>
    <row r="147" spans="1:9" x14ac:dyDescent="0.35">
      <c r="A147" t="s">
        <v>577</v>
      </c>
      <c r="B147" t="s">
        <v>332</v>
      </c>
      <c r="C147" t="s">
        <v>140</v>
      </c>
      <c r="D147" t="s">
        <v>401</v>
      </c>
      <c r="E147">
        <v>2</v>
      </c>
      <c r="F147">
        <v>499</v>
      </c>
      <c r="G147" t="str">
        <f>IFERROR(VLOOKUP(C147, Employees!A:I, 2, FALSE), "Not Found")</f>
        <v>Emily Davis</v>
      </c>
      <c r="H147" t="str">
        <f>IFERROR(VLOOKUP(C147, Employees!A:I, 3, FALSE), "Not Found")</f>
        <v>HR</v>
      </c>
      <c r="I147" t="str">
        <f>IFERROR(VLOOKUP(C147,Employees!A:I, 4, FALSE), "NOT FOUND")</f>
        <v>Manager</v>
      </c>
    </row>
    <row r="148" spans="1:9" x14ac:dyDescent="0.35">
      <c r="A148" t="s">
        <v>578</v>
      </c>
      <c r="B148" t="s">
        <v>579</v>
      </c>
      <c r="C148" t="s">
        <v>196</v>
      </c>
      <c r="D148" t="s">
        <v>375</v>
      </c>
      <c r="E148">
        <v>10</v>
      </c>
      <c r="F148">
        <v>799</v>
      </c>
      <c r="G148" t="str">
        <f>IFERROR(VLOOKUP(C148, Employees!A:I, 2, FALSE), "Not Found")</f>
        <v>Sarah Brown</v>
      </c>
      <c r="H148" t="str">
        <f>IFERROR(VLOOKUP(C148, Employees!A:I, 3, FALSE), "Not Found")</f>
        <v>Finance</v>
      </c>
      <c r="I148" t="str">
        <f>IFERROR(VLOOKUP(C148,Employees!A:I, 4, FALSE), "NOT FOUND")</f>
        <v>Specialist</v>
      </c>
    </row>
    <row r="149" spans="1:9" x14ac:dyDescent="0.35">
      <c r="A149" t="s">
        <v>580</v>
      </c>
      <c r="B149" t="s">
        <v>453</v>
      </c>
      <c r="C149" t="s">
        <v>17</v>
      </c>
      <c r="D149" t="s">
        <v>299</v>
      </c>
      <c r="E149">
        <v>5</v>
      </c>
      <c r="F149">
        <v>299</v>
      </c>
      <c r="G149" t="str">
        <f>IFERROR(VLOOKUP(C149, Employees!A:I, 2, FALSE), "Not Found")</f>
        <v>William Johnson</v>
      </c>
      <c r="H149" t="str">
        <f>IFERROR(VLOOKUP(C149, Employees!A:I, 3, FALSE), "Not Found")</f>
        <v>Finance</v>
      </c>
      <c r="I149" t="str">
        <f>IFERROR(VLOOKUP(C149,Employees!A:I, 4, FALSE), "NOT FOUND")</f>
        <v>Coordinator</v>
      </c>
    </row>
    <row r="150" spans="1:9" x14ac:dyDescent="0.35">
      <c r="A150" t="s">
        <v>581</v>
      </c>
      <c r="B150" t="s">
        <v>412</v>
      </c>
      <c r="C150" t="s">
        <v>227</v>
      </c>
      <c r="D150" t="s">
        <v>389</v>
      </c>
      <c r="E150">
        <v>10</v>
      </c>
      <c r="F150">
        <v>1499</v>
      </c>
      <c r="G150" t="str">
        <f>IFERROR(VLOOKUP(C150, Employees!A:I, 2, FALSE), "Not Found")</f>
        <v>Robert Williams</v>
      </c>
      <c r="H150" t="str">
        <f>IFERROR(VLOOKUP(C150, Employees!A:I, 3, FALSE), "Not Found")</f>
        <v>Sales</v>
      </c>
      <c r="I150" t="str">
        <f>IFERROR(VLOOKUP(C150,Employees!A:I, 4, FALSE), "NOT FOUND")</f>
        <v>Specialist</v>
      </c>
    </row>
    <row r="151" spans="1:9" x14ac:dyDescent="0.35">
      <c r="A151" t="s">
        <v>582</v>
      </c>
      <c r="B151" t="s">
        <v>583</v>
      </c>
      <c r="C151" t="s">
        <v>112</v>
      </c>
      <c r="D151" t="s">
        <v>330</v>
      </c>
      <c r="E151">
        <v>10</v>
      </c>
      <c r="F151">
        <v>799</v>
      </c>
      <c r="G151" t="str">
        <f>IFERROR(VLOOKUP(C151, Employees!A:I, 2, FALSE), "Not Found")</f>
        <v>Jennifer Smith</v>
      </c>
      <c r="H151" t="str">
        <f>IFERROR(VLOOKUP(C151, Employees!A:I, 3, FALSE), "Not Found")</f>
        <v>Sales</v>
      </c>
      <c r="I151" t="str">
        <f>IFERROR(VLOOKUP(C151,Employees!A:I, 4, FALSE), "NOT FOUND")</f>
        <v>Specialist</v>
      </c>
    </row>
    <row r="152" spans="1:9" x14ac:dyDescent="0.35">
      <c r="A152" t="s">
        <v>584</v>
      </c>
      <c r="B152" t="s">
        <v>585</v>
      </c>
      <c r="C152" t="s">
        <v>214</v>
      </c>
      <c r="D152" t="s">
        <v>305</v>
      </c>
      <c r="E152">
        <v>10</v>
      </c>
      <c r="F152">
        <v>799</v>
      </c>
      <c r="G152" t="str">
        <f>IFERROR(VLOOKUP(C152, Employees!A:I, 2, FALSE), "Not Found")</f>
        <v>David Smith</v>
      </c>
      <c r="H152" t="str">
        <f>IFERROR(VLOOKUP(C152, Employees!A:I, 3, FALSE), "Not Found")</f>
        <v>Sales</v>
      </c>
      <c r="I152" t="str">
        <f>IFERROR(VLOOKUP(C152,Employees!A:I, 4, FALSE), "NOT FOUND")</f>
        <v>Coordinator</v>
      </c>
    </row>
    <row r="153" spans="1:9" x14ac:dyDescent="0.35">
      <c r="A153" t="s">
        <v>586</v>
      </c>
      <c r="B153" t="s">
        <v>587</v>
      </c>
      <c r="C153" t="s">
        <v>214</v>
      </c>
      <c r="D153" t="s">
        <v>417</v>
      </c>
      <c r="E153">
        <v>1</v>
      </c>
      <c r="F153">
        <v>799</v>
      </c>
      <c r="G153" t="str">
        <f>IFERROR(VLOOKUP(C153, Employees!A:I, 2, FALSE), "Not Found")</f>
        <v>David Smith</v>
      </c>
      <c r="H153" t="str">
        <f>IFERROR(VLOOKUP(C153, Employees!A:I, 3, FALSE), "Not Found")</f>
        <v>Sales</v>
      </c>
      <c r="I153" t="str">
        <f>IFERROR(VLOOKUP(C153,Employees!A:I, 4, FALSE), "NOT FOUND")</f>
        <v>Coordinator</v>
      </c>
    </row>
    <row r="154" spans="1:9" x14ac:dyDescent="0.35">
      <c r="A154" t="s">
        <v>588</v>
      </c>
      <c r="B154" t="s">
        <v>589</v>
      </c>
      <c r="C154" t="s">
        <v>25</v>
      </c>
      <c r="D154" t="s">
        <v>317</v>
      </c>
      <c r="E154">
        <v>6</v>
      </c>
      <c r="F154">
        <v>1499</v>
      </c>
      <c r="G154" t="str">
        <f>IFERROR(VLOOKUP(C154, Employees!A:I, 2, FALSE), "Not Found")</f>
        <v>William Smith</v>
      </c>
      <c r="H154" t="str">
        <f>IFERROR(VLOOKUP(C154, Employees!A:I, 3, FALSE), "Not Found")</f>
        <v>Finance</v>
      </c>
      <c r="I154" t="str">
        <f>IFERROR(VLOOKUP(C154,Employees!A:I, 4, FALSE), "NOT FOUND")</f>
        <v>Manager</v>
      </c>
    </row>
    <row r="155" spans="1:9" x14ac:dyDescent="0.35">
      <c r="A155" t="s">
        <v>590</v>
      </c>
      <c r="B155" t="s">
        <v>591</v>
      </c>
      <c r="C155" t="s">
        <v>44</v>
      </c>
      <c r="D155" t="s">
        <v>310</v>
      </c>
      <c r="E155">
        <v>6</v>
      </c>
      <c r="F155">
        <v>1499</v>
      </c>
      <c r="G155" t="str">
        <f>IFERROR(VLOOKUP(C155, Employees!A:I, 2, FALSE), "Not Found")</f>
        <v>Jennifer Johnson</v>
      </c>
      <c r="H155" t="str">
        <f>IFERROR(VLOOKUP(C155, Employees!A:I, 3, FALSE), "Not Found")</f>
        <v>HR</v>
      </c>
      <c r="I155" t="str">
        <f>IFERROR(VLOOKUP(C155,Employees!A:I, 4, FALSE), "NOT FOUND")</f>
        <v>Analyst</v>
      </c>
    </row>
    <row r="156" spans="1:9" x14ac:dyDescent="0.35">
      <c r="A156" t="s">
        <v>592</v>
      </c>
      <c r="B156" t="s">
        <v>369</v>
      </c>
      <c r="C156" t="s">
        <v>77</v>
      </c>
      <c r="D156" t="s">
        <v>305</v>
      </c>
      <c r="E156">
        <v>3</v>
      </c>
      <c r="F156">
        <v>1299</v>
      </c>
      <c r="G156" t="str">
        <f>IFERROR(VLOOKUP(C156, Employees!A:I, 2, FALSE), "Not Found")</f>
        <v>Emily Davis</v>
      </c>
      <c r="H156" t="str">
        <f>IFERROR(VLOOKUP(C156, Employees!A:I, 3, FALSE), "Not Found")</f>
        <v>HR</v>
      </c>
      <c r="I156" t="str">
        <f>IFERROR(VLOOKUP(C156,Employees!A:I, 4, FALSE), "NOT FOUND")</f>
        <v>Coordinator</v>
      </c>
    </row>
    <row r="157" spans="1:9" x14ac:dyDescent="0.35">
      <c r="A157" t="s">
        <v>593</v>
      </c>
      <c r="B157" t="s">
        <v>594</v>
      </c>
      <c r="C157" t="s">
        <v>182</v>
      </c>
      <c r="D157" t="s">
        <v>348</v>
      </c>
      <c r="E157">
        <v>5</v>
      </c>
      <c r="F157">
        <v>499</v>
      </c>
      <c r="G157" t="str">
        <f>IFERROR(VLOOKUP(C157, Employees!A:I, 2, FALSE), "Not Found")</f>
        <v>Robert Johnson</v>
      </c>
      <c r="H157" t="str">
        <f>IFERROR(VLOOKUP(C157, Employees!A:I, 3, FALSE), "Not Found")</f>
        <v>Finance</v>
      </c>
      <c r="I157" t="str">
        <f>IFERROR(VLOOKUP(C157,Employees!A:I, 4, FALSE), "NOT FOUND")</f>
        <v>Manager</v>
      </c>
    </row>
    <row r="158" spans="1:9" x14ac:dyDescent="0.35">
      <c r="A158" t="s">
        <v>595</v>
      </c>
      <c r="B158" t="s">
        <v>596</v>
      </c>
      <c r="C158" t="s">
        <v>167</v>
      </c>
      <c r="D158" t="s">
        <v>310</v>
      </c>
      <c r="E158">
        <v>6</v>
      </c>
      <c r="F158">
        <v>299</v>
      </c>
      <c r="G158" t="str">
        <f>IFERROR(VLOOKUP(C158, Employees!A:I, 2, FALSE), "Not Found")</f>
        <v>William Davis</v>
      </c>
      <c r="H158" t="str">
        <f>IFERROR(VLOOKUP(C158, Employees!A:I, 3, FALSE), "Not Found")</f>
        <v>Marketing</v>
      </c>
      <c r="I158" t="str">
        <f>IFERROR(VLOOKUP(C158,Employees!A:I, 4, FALSE), "NOT FOUND")</f>
        <v>Manager</v>
      </c>
    </row>
    <row r="159" spans="1:9" x14ac:dyDescent="0.35">
      <c r="A159" t="s">
        <v>597</v>
      </c>
      <c r="B159" t="s">
        <v>598</v>
      </c>
      <c r="C159" t="s">
        <v>36</v>
      </c>
      <c r="D159" t="s">
        <v>365</v>
      </c>
      <c r="E159">
        <v>4</v>
      </c>
      <c r="F159">
        <v>1499</v>
      </c>
      <c r="G159" t="str">
        <f>IFERROR(VLOOKUP(C159, Employees!A:I, 2, FALSE), "Not Found")</f>
        <v>Sarah Johnson</v>
      </c>
      <c r="H159" t="str">
        <f>IFERROR(VLOOKUP(C159, Employees!A:I, 3, FALSE), "Not Found")</f>
        <v>HR</v>
      </c>
      <c r="I159" t="str">
        <f>IFERROR(VLOOKUP(C159,Employees!A:I, 4, FALSE), "NOT FOUND")</f>
        <v>Analyst</v>
      </c>
    </row>
    <row r="160" spans="1:9" x14ac:dyDescent="0.35">
      <c r="A160" t="s">
        <v>599</v>
      </c>
      <c r="B160" t="s">
        <v>553</v>
      </c>
      <c r="C160" t="s">
        <v>192</v>
      </c>
      <c r="D160" t="s">
        <v>375</v>
      </c>
      <c r="E160">
        <v>2</v>
      </c>
      <c r="F160">
        <v>999</v>
      </c>
      <c r="G160" t="str">
        <f>IFERROR(VLOOKUP(C160, Employees!A:I, 2, FALSE), "Not Found")</f>
        <v>David Davis</v>
      </c>
      <c r="H160" t="str">
        <f>IFERROR(VLOOKUP(C160, Employees!A:I, 3, FALSE), "Not Found")</f>
        <v>IT</v>
      </c>
      <c r="I160" t="str">
        <f>IFERROR(VLOOKUP(C160,Employees!A:I, 4, FALSE), "NOT FOUND")</f>
        <v>Analyst</v>
      </c>
    </row>
    <row r="161" spans="1:9" x14ac:dyDescent="0.35">
      <c r="A161" t="s">
        <v>600</v>
      </c>
      <c r="B161" t="s">
        <v>455</v>
      </c>
      <c r="C161" t="s">
        <v>102</v>
      </c>
      <c r="D161" t="s">
        <v>354</v>
      </c>
      <c r="E161">
        <v>2</v>
      </c>
      <c r="F161">
        <v>999</v>
      </c>
      <c r="G161" t="str">
        <f>IFERROR(VLOOKUP(C161, Employees!A:I, 2, FALSE), "Not Found")</f>
        <v>John Jones</v>
      </c>
      <c r="H161" t="str">
        <f>IFERROR(VLOOKUP(C161, Employees!A:I, 3, FALSE), "Not Found")</f>
        <v>Finance</v>
      </c>
      <c r="I161" t="str">
        <f>IFERROR(VLOOKUP(C161,Employees!A:I, 4, FALSE), "NOT FOUND")</f>
        <v>Manager</v>
      </c>
    </row>
    <row r="162" spans="1:9" x14ac:dyDescent="0.35">
      <c r="A162" t="s">
        <v>601</v>
      </c>
      <c r="B162" t="s">
        <v>602</v>
      </c>
      <c r="C162" t="s">
        <v>227</v>
      </c>
      <c r="D162" t="s">
        <v>356</v>
      </c>
      <c r="E162">
        <v>10</v>
      </c>
      <c r="F162">
        <v>999</v>
      </c>
      <c r="G162" t="str">
        <f>IFERROR(VLOOKUP(C162, Employees!A:I, 2, FALSE), "Not Found")</f>
        <v>Robert Williams</v>
      </c>
      <c r="H162" t="str">
        <f>IFERROR(VLOOKUP(C162, Employees!A:I, 3, FALSE), "Not Found")</f>
        <v>Sales</v>
      </c>
      <c r="I162" t="str">
        <f>IFERROR(VLOOKUP(C162,Employees!A:I, 4, FALSE), "NOT FOUND")</f>
        <v>Specialist</v>
      </c>
    </row>
    <row r="163" spans="1:9" x14ac:dyDescent="0.35">
      <c r="A163" t="s">
        <v>603</v>
      </c>
      <c r="B163" t="s">
        <v>604</v>
      </c>
      <c r="C163" t="s">
        <v>49</v>
      </c>
      <c r="D163" t="s">
        <v>330</v>
      </c>
      <c r="E163">
        <v>8</v>
      </c>
      <c r="F163">
        <v>299</v>
      </c>
      <c r="G163" t="str">
        <f>IFERROR(VLOOKUP(C163, Employees!A:I, 2, FALSE), "Not Found")</f>
        <v>Jessica Brown</v>
      </c>
      <c r="H163" t="str">
        <f>IFERROR(VLOOKUP(C163, Employees!A:I, 3, FALSE), "Not Found")</f>
        <v>Operations</v>
      </c>
      <c r="I163" t="str">
        <f>IFERROR(VLOOKUP(C163,Employees!A:I, 4, FALSE), "NOT FOUND")</f>
        <v>Analyst</v>
      </c>
    </row>
    <row r="164" spans="1:9" x14ac:dyDescent="0.35">
      <c r="A164" t="s">
        <v>605</v>
      </c>
      <c r="B164" t="s">
        <v>606</v>
      </c>
      <c r="C164" t="s">
        <v>123</v>
      </c>
      <c r="D164" t="s">
        <v>322</v>
      </c>
      <c r="E164">
        <v>4</v>
      </c>
      <c r="F164">
        <v>1499</v>
      </c>
      <c r="G164" t="str">
        <f>IFERROR(VLOOKUP(C164, Employees!A:I, 2, FALSE), "Not Found")</f>
        <v>David Miller</v>
      </c>
      <c r="H164" t="str">
        <f>IFERROR(VLOOKUP(C164, Employees!A:I, 3, FALSE), "Not Found")</f>
        <v>Marketing</v>
      </c>
      <c r="I164" t="str">
        <f>IFERROR(VLOOKUP(C164,Employees!A:I, 4, FALSE), "NOT FOUND")</f>
        <v>Director</v>
      </c>
    </row>
    <row r="165" spans="1:9" x14ac:dyDescent="0.35">
      <c r="A165" t="s">
        <v>607</v>
      </c>
      <c r="B165" t="s">
        <v>608</v>
      </c>
      <c r="C165" t="s">
        <v>214</v>
      </c>
      <c r="D165" t="s">
        <v>351</v>
      </c>
      <c r="E165">
        <v>5</v>
      </c>
      <c r="F165">
        <v>1499</v>
      </c>
      <c r="G165" t="str">
        <f>IFERROR(VLOOKUP(C165, Employees!A:I, 2, FALSE), "Not Found")</f>
        <v>David Smith</v>
      </c>
      <c r="H165" t="str">
        <f>IFERROR(VLOOKUP(C165, Employees!A:I, 3, FALSE), "Not Found")</f>
        <v>Sales</v>
      </c>
      <c r="I165" t="str">
        <f>IFERROR(VLOOKUP(C165,Employees!A:I, 4, FALSE), "NOT FOUND")</f>
        <v>Coordinator</v>
      </c>
    </row>
    <row r="166" spans="1:9" x14ac:dyDescent="0.35">
      <c r="A166" t="s">
        <v>609</v>
      </c>
      <c r="B166" t="s">
        <v>312</v>
      </c>
      <c r="C166" t="s">
        <v>54</v>
      </c>
      <c r="D166" t="s">
        <v>365</v>
      </c>
      <c r="E166">
        <v>1</v>
      </c>
      <c r="F166">
        <v>299</v>
      </c>
      <c r="G166" t="str">
        <f>IFERROR(VLOOKUP(C166, Employees!A:I, 2, FALSE), "Not Found")</f>
        <v>Sarah Brown</v>
      </c>
      <c r="H166" t="str">
        <f>IFERROR(VLOOKUP(C166, Employees!A:I, 3, FALSE), "Not Found")</f>
        <v>Sales</v>
      </c>
      <c r="I166" t="str">
        <f>IFERROR(VLOOKUP(C166,Employees!A:I, 4, FALSE), "NOT FOUND")</f>
        <v>Coordinator</v>
      </c>
    </row>
    <row r="167" spans="1:9" x14ac:dyDescent="0.35">
      <c r="A167" t="s">
        <v>610</v>
      </c>
      <c r="B167" t="s">
        <v>611</v>
      </c>
      <c r="C167" t="s">
        <v>172</v>
      </c>
      <c r="D167" t="s">
        <v>417</v>
      </c>
      <c r="E167">
        <v>2</v>
      </c>
      <c r="F167">
        <v>499</v>
      </c>
      <c r="G167" t="str">
        <f>IFERROR(VLOOKUP(C167, Employees!A:I, 2, FALSE), "Not Found")</f>
        <v>John Garcia</v>
      </c>
      <c r="H167" t="str">
        <f>IFERROR(VLOOKUP(C167, Employees!A:I, 3, FALSE), "Not Found")</f>
        <v>Sales</v>
      </c>
      <c r="I167" t="str">
        <f>IFERROR(VLOOKUP(C167,Employees!A:I, 4, FALSE), "NOT FOUND")</f>
        <v>Analyst</v>
      </c>
    </row>
    <row r="168" spans="1:9" x14ac:dyDescent="0.35">
      <c r="A168" t="s">
        <v>612</v>
      </c>
      <c r="B168" t="s">
        <v>304</v>
      </c>
      <c r="C168" t="s">
        <v>61</v>
      </c>
      <c r="D168" t="s">
        <v>299</v>
      </c>
      <c r="E168">
        <v>8</v>
      </c>
      <c r="F168">
        <v>799</v>
      </c>
      <c r="G168" t="str">
        <f>IFERROR(VLOOKUP(C168, Employees!A:I, 2, FALSE), "Not Found")</f>
        <v>Lisa Brown</v>
      </c>
      <c r="H168" t="str">
        <f>IFERROR(VLOOKUP(C168, Employees!A:I, 3, FALSE), "Not Found")</f>
        <v>Operations</v>
      </c>
      <c r="I168" t="str">
        <f>IFERROR(VLOOKUP(C168,Employees!A:I, 4, FALSE), "NOT FOUND")</f>
        <v>Specialist</v>
      </c>
    </row>
    <row r="169" spans="1:9" x14ac:dyDescent="0.35">
      <c r="A169" t="s">
        <v>613</v>
      </c>
      <c r="B169" t="s">
        <v>364</v>
      </c>
      <c r="C169" t="s">
        <v>149</v>
      </c>
      <c r="D169" t="s">
        <v>317</v>
      </c>
      <c r="E169">
        <v>3</v>
      </c>
      <c r="F169">
        <v>999</v>
      </c>
      <c r="G169" t="str">
        <f>IFERROR(VLOOKUP(C169, Employees!A:I, 2, FALSE), "Not Found")</f>
        <v>Sarah Brown</v>
      </c>
      <c r="H169" t="str">
        <f>IFERROR(VLOOKUP(C169, Employees!A:I, 3, FALSE), "Not Found")</f>
        <v>Marketing</v>
      </c>
      <c r="I169" t="str">
        <f>IFERROR(VLOOKUP(C169,Employees!A:I, 4, FALSE), "NOT FOUND")</f>
        <v>Manager</v>
      </c>
    </row>
    <row r="170" spans="1:9" x14ac:dyDescent="0.35">
      <c r="A170" t="s">
        <v>614</v>
      </c>
      <c r="B170" t="s">
        <v>476</v>
      </c>
      <c r="C170" t="s">
        <v>172</v>
      </c>
      <c r="D170" t="s">
        <v>322</v>
      </c>
      <c r="E170">
        <v>7</v>
      </c>
      <c r="F170">
        <v>799</v>
      </c>
      <c r="G170" t="str">
        <f>IFERROR(VLOOKUP(C170, Employees!A:I, 2, FALSE), "Not Found")</f>
        <v>John Garcia</v>
      </c>
      <c r="H170" t="str">
        <f>IFERROR(VLOOKUP(C170, Employees!A:I, 3, FALSE), "Not Found")</f>
        <v>Sales</v>
      </c>
      <c r="I170" t="str">
        <f>IFERROR(VLOOKUP(C170,Employees!A:I, 4, FALSE), "NOT FOUND")</f>
        <v>Analyst</v>
      </c>
    </row>
    <row r="171" spans="1:9" x14ac:dyDescent="0.35">
      <c r="A171" t="s">
        <v>615</v>
      </c>
      <c r="B171" t="s">
        <v>616</v>
      </c>
      <c r="C171" t="s">
        <v>232</v>
      </c>
      <c r="D171" t="s">
        <v>375</v>
      </c>
      <c r="E171">
        <v>4</v>
      </c>
      <c r="F171">
        <v>999</v>
      </c>
      <c r="G171" t="str">
        <f>IFERROR(VLOOKUP(C171, Employees!A:I, 2, FALSE), "Not Found")</f>
        <v>Sarah Garcia</v>
      </c>
      <c r="H171" t="str">
        <f>IFERROR(VLOOKUP(C171, Employees!A:I, 3, FALSE), "Not Found")</f>
        <v>Finance</v>
      </c>
      <c r="I171" t="str">
        <f>IFERROR(VLOOKUP(C171,Employees!A:I, 4, FALSE), "NOT FOUND")</f>
        <v>Coordinator</v>
      </c>
    </row>
    <row r="172" spans="1:9" x14ac:dyDescent="0.35">
      <c r="A172" t="s">
        <v>617</v>
      </c>
      <c r="B172" t="s">
        <v>618</v>
      </c>
      <c r="C172" t="s">
        <v>97</v>
      </c>
      <c r="D172" t="s">
        <v>375</v>
      </c>
      <c r="E172">
        <v>2</v>
      </c>
      <c r="F172">
        <v>1499</v>
      </c>
      <c r="G172" t="str">
        <f>IFERROR(VLOOKUP(C172, Employees!A:I, 2, FALSE), "Not Found")</f>
        <v>Sarah Jones</v>
      </c>
      <c r="H172" t="str">
        <f>IFERROR(VLOOKUP(C172, Employees!A:I, 3, FALSE), "Not Found")</f>
        <v>Operations</v>
      </c>
      <c r="I172" t="str">
        <f>IFERROR(VLOOKUP(C172,Employees!A:I, 4, FALSE), "NOT FOUND")</f>
        <v>Specialist</v>
      </c>
    </row>
    <row r="173" spans="1:9" x14ac:dyDescent="0.35">
      <c r="A173" t="s">
        <v>619</v>
      </c>
      <c r="B173" t="s">
        <v>602</v>
      </c>
      <c r="C173" t="s">
        <v>187</v>
      </c>
      <c r="D173" t="s">
        <v>340</v>
      </c>
      <c r="E173">
        <v>6</v>
      </c>
      <c r="F173">
        <v>299</v>
      </c>
      <c r="G173" t="str">
        <f>IFERROR(VLOOKUP(C173, Employees!A:I, 2, FALSE), "Not Found")</f>
        <v>Robert Garcia</v>
      </c>
      <c r="H173" t="str">
        <f>IFERROR(VLOOKUP(C173, Employees!A:I, 3, FALSE), "Not Found")</f>
        <v>IT</v>
      </c>
      <c r="I173" t="str">
        <f>IFERROR(VLOOKUP(C173,Employees!A:I, 4, FALSE), "NOT FOUND")</f>
        <v>Manager</v>
      </c>
    </row>
    <row r="174" spans="1:9" x14ac:dyDescent="0.35">
      <c r="A174" t="s">
        <v>620</v>
      </c>
      <c r="B174" t="s">
        <v>553</v>
      </c>
      <c r="C174" t="s">
        <v>107</v>
      </c>
      <c r="D174" t="s">
        <v>305</v>
      </c>
      <c r="E174">
        <v>2</v>
      </c>
      <c r="F174">
        <v>999</v>
      </c>
      <c r="G174" t="str">
        <f>IFERROR(VLOOKUP(C174, Employees!A:I, 2, FALSE), "Not Found")</f>
        <v>Jessica Brown</v>
      </c>
      <c r="H174" t="str">
        <f>IFERROR(VLOOKUP(C174, Employees!A:I, 3, FALSE), "Not Found")</f>
        <v>Marketing</v>
      </c>
      <c r="I174" t="str">
        <f>IFERROR(VLOOKUP(C174,Employees!A:I, 4, FALSE), "NOT FOUND")</f>
        <v>Specialist</v>
      </c>
    </row>
    <row r="175" spans="1:9" x14ac:dyDescent="0.35">
      <c r="A175" t="s">
        <v>621</v>
      </c>
      <c r="B175" t="s">
        <v>622</v>
      </c>
      <c r="C175" t="s">
        <v>223</v>
      </c>
      <c r="D175" t="s">
        <v>305</v>
      </c>
      <c r="E175">
        <v>10</v>
      </c>
      <c r="F175">
        <v>299</v>
      </c>
      <c r="G175" t="str">
        <f>IFERROR(VLOOKUP(C175, Employees!A:I, 2, FALSE), "Not Found")</f>
        <v>Sarah Johnson</v>
      </c>
      <c r="H175" t="str">
        <f>IFERROR(VLOOKUP(C175, Employees!A:I, 3, FALSE), "Not Found")</f>
        <v>Operations</v>
      </c>
      <c r="I175" t="str">
        <f>IFERROR(VLOOKUP(C175,Employees!A:I, 4, FALSE), "NOT FOUND")</f>
        <v>Manager</v>
      </c>
    </row>
    <row r="176" spans="1:9" x14ac:dyDescent="0.35">
      <c r="A176" t="s">
        <v>623</v>
      </c>
      <c r="B176" t="s">
        <v>345</v>
      </c>
      <c r="C176" t="s">
        <v>127</v>
      </c>
      <c r="D176" t="s">
        <v>330</v>
      </c>
      <c r="E176">
        <v>3</v>
      </c>
      <c r="F176">
        <v>1299</v>
      </c>
      <c r="G176" t="str">
        <f>IFERROR(VLOOKUP(C176, Employees!A:I, 2, FALSE), "Not Found")</f>
        <v>Jennifer Davis</v>
      </c>
      <c r="H176" t="str">
        <f>IFERROR(VLOOKUP(C176, Employees!A:I, 3, FALSE), "Not Found")</f>
        <v>Sales</v>
      </c>
      <c r="I176" t="str">
        <f>IFERROR(VLOOKUP(C176,Employees!A:I, 4, FALSE), "NOT FOUND")</f>
        <v>Manager</v>
      </c>
    </row>
    <row r="177" spans="1:9" x14ac:dyDescent="0.35">
      <c r="A177" t="s">
        <v>624</v>
      </c>
      <c r="B177" t="s">
        <v>625</v>
      </c>
      <c r="C177" t="s">
        <v>36</v>
      </c>
      <c r="D177" t="s">
        <v>354</v>
      </c>
      <c r="E177">
        <v>4</v>
      </c>
      <c r="F177">
        <v>1299</v>
      </c>
      <c r="G177" t="str">
        <f>IFERROR(VLOOKUP(C177, Employees!A:I, 2, FALSE), "Not Found")</f>
        <v>Sarah Johnson</v>
      </c>
      <c r="H177" t="str">
        <f>IFERROR(VLOOKUP(C177, Employees!A:I, 3, FALSE), "Not Found")</f>
        <v>HR</v>
      </c>
      <c r="I177" t="str">
        <f>IFERROR(VLOOKUP(C177,Employees!A:I, 4, FALSE), "NOT FOUND")</f>
        <v>Analyst</v>
      </c>
    </row>
    <row r="178" spans="1:9" x14ac:dyDescent="0.35">
      <c r="A178" t="s">
        <v>626</v>
      </c>
      <c r="B178" t="s">
        <v>627</v>
      </c>
      <c r="C178" t="s">
        <v>92</v>
      </c>
      <c r="D178" t="s">
        <v>296</v>
      </c>
      <c r="E178">
        <v>3</v>
      </c>
      <c r="F178">
        <v>1299</v>
      </c>
      <c r="G178" t="str">
        <f>IFERROR(VLOOKUP(C178, Employees!A:I, 2, FALSE), "Not Found")</f>
        <v>Robert Miller</v>
      </c>
      <c r="H178" t="str">
        <f>IFERROR(VLOOKUP(C178, Employees!A:I, 3, FALSE), "Not Found")</f>
        <v>Finance</v>
      </c>
      <c r="I178" t="str">
        <f>IFERROR(VLOOKUP(C178,Employees!A:I, 4, FALSE), "NOT FOUND")</f>
        <v>Coordinator</v>
      </c>
    </row>
    <row r="179" spans="1:9" x14ac:dyDescent="0.35">
      <c r="A179" t="s">
        <v>628</v>
      </c>
      <c r="B179" t="s">
        <v>629</v>
      </c>
      <c r="C179" t="s">
        <v>107</v>
      </c>
      <c r="D179" t="s">
        <v>365</v>
      </c>
      <c r="E179">
        <v>3</v>
      </c>
      <c r="F179">
        <v>1299</v>
      </c>
      <c r="G179" t="str">
        <f>IFERROR(VLOOKUP(C179, Employees!A:I, 2, FALSE), "Not Found")</f>
        <v>Jessica Brown</v>
      </c>
      <c r="H179" t="str">
        <f>IFERROR(VLOOKUP(C179, Employees!A:I, 3, FALSE), "Not Found")</f>
        <v>Marketing</v>
      </c>
      <c r="I179" t="str">
        <f>IFERROR(VLOOKUP(C179,Employees!A:I, 4, FALSE), "NOT FOUND")</f>
        <v>Specialist</v>
      </c>
    </row>
    <row r="180" spans="1:9" x14ac:dyDescent="0.35">
      <c r="A180" t="s">
        <v>630</v>
      </c>
      <c r="B180" t="s">
        <v>631</v>
      </c>
      <c r="C180" t="s">
        <v>77</v>
      </c>
      <c r="D180" t="s">
        <v>417</v>
      </c>
      <c r="E180">
        <v>1</v>
      </c>
      <c r="F180">
        <v>499</v>
      </c>
      <c r="G180" t="str">
        <f>IFERROR(VLOOKUP(C180, Employees!A:I, 2, FALSE), "Not Found")</f>
        <v>Emily Davis</v>
      </c>
      <c r="H180" t="str">
        <f>IFERROR(VLOOKUP(C180, Employees!A:I, 3, FALSE), "Not Found")</f>
        <v>HR</v>
      </c>
      <c r="I180" t="str">
        <f>IFERROR(VLOOKUP(C180,Employees!A:I, 4, FALSE), "NOT FOUND")</f>
        <v>Coordinator</v>
      </c>
    </row>
    <row r="181" spans="1:9" x14ac:dyDescent="0.35">
      <c r="A181" t="s">
        <v>632</v>
      </c>
      <c r="B181" t="s">
        <v>455</v>
      </c>
      <c r="C181" t="s">
        <v>132</v>
      </c>
      <c r="D181" t="s">
        <v>330</v>
      </c>
      <c r="E181">
        <v>10</v>
      </c>
      <c r="F181">
        <v>799</v>
      </c>
      <c r="G181" t="str">
        <f>IFERROR(VLOOKUP(C181, Employees!A:I, 2, FALSE), "Not Found")</f>
        <v>Jessica Brown</v>
      </c>
      <c r="H181" t="str">
        <f>IFERROR(VLOOKUP(C181, Employees!A:I, 3, FALSE), "Not Found")</f>
        <v>Sales</v>
      </c>
      <c r="I181" t="str">
        <f>IFERROR(VLOOKUP(C181,Employees!A:I, 4, FALSE), "NOT FOUND")</f>
        <v>Analyst</v>
      </c>
    </row>
    <row r="182" spans="1:9" x14ac:dyDescent="0.35">
      <c r="A182" t="s">
        <v>633</v>
      </c>
      <c r="B182" t="s">
        <v>634</v>
      </c>
      <c r="C182" t="s">
        <v>77</v>
      </c>
      <c r="D182" t="s">
        <v>356</v>
      </c>
      <c r="E182">
        <v>1</v>
      </c>
      <c r="F182">
        <v>499</v>
      </c>
      <c r="G182" t="str">
        <f>IFERROR(VLOOKUP(C182, Employees!A:I, 2, FALSE), "Not Found")</f>
        <v>Emily Davis</v>
      </c>
      <c r="H182" t="str">
        <f>IFERROR(VLOOKUP(C182, Employees!A:I, 3, FALSE), "Not Found")</f>
        <v>HR</v>
      </c>
      <c r="I182" t="str">
        <f>IFERROR(VLOOKUP(C182,Employees!A:I, 4, FALSE), "NOT FOUND")</f>
        <v>Coordinator</v>
      </c>
    </row>
    <row r="183" spans="1:9" x14ac:dyDescent="0.35">
      <c r="A183" t="s">
        <v>635</v>
      </c>
      <c r="B183" t="s">
        <v>416</v>
      </c>
      <c r="C183" t="s">
        <v>182</v>
      </c>
      <c r="D183" t="s">
        <v>417</v>
      </c>
      <c r="E183">
        <v>2</v>
      </c>
      <c r="F183">
        <v>999</v>
      </c>
      <c r="G183" t="str">
        <f>IFERROR(VLOOKUP(C183, Employees!A:I, 2, FALSE), "Not Found")</f>
        <v>Robert Johnson</v>
      </c>
      <c r="H183" t="str">
        <f>IFERROR(VLOOKUP(C183, Employees!A:I, 3, FALSE), "Not Found")</f>
        <v>Finance</v>
      </c>
      <c r="I183" t="str">
        <f>IFERROR(VLOOKUP(C183,Employees!A:I, 4, FALSE), "NOT FOUND")</f>
        <v>Manager</v>
      </c>
    </row>
    <row r="184" spans="1:9" x14ac:dyDescent="0.35">
      <c r="A184" t="s">
        <v>636</v>
      </c>
      <c r="B184" t="s">
        <v>637</v>
      </c>
      <c r="C184" t="s">
        <v>257</v>
      </c>
      <c r="D184" t="s">
        <v>375</v>
      </c>
      <c r="E184">
        <v>9</v>
      </c>
      <c r="F184">
        <v>1299</v>
      </c>
      <c r="G184" t="str">
        <f>IFERROR(VLOOKUP(C184, Employees!A:I, 2, FALSE), "Not Found")</f>
        <v>Sarah Jones</v>
      </c>
      <c r="H184" t="str">
        <f>IFERROR(VLOOKUP(C184, Employees!A:I, 3, FALSE), "Not Found")</f>
        <v>Marketing</v>
      </c>
      <c r="I184" t="str">
        <f>IFERROR(VLOOKUP(C184,Employees!A:I, 4, FALSE), "NOT FOUND")</f>
        <v>Director</v>
      </c>
    </row>
    <row r="185" spans="1:9" x14ac:dyDescent="0.35">
      <c r="A185" t="s">
        <v>638</v>
      </c>
      <c r="B185" t="s">
        <v>639</v>
      </c>
      <c r="C185" t="s">
        <v>158</v>
      </c>
      <c r="D185" t="s">
        <v>348</v>
      </c>
      <c r="E185">
        <v>4</v>
      </c>
      <c r="F185">
        <v>1299</v>
      </c>
      <c r="G185" t="str">
        <f>IFERROR(VLOOKUP(C185, Employees!A:I, 2, FALSE), "Not Found")</f>
        <v>John Johnson</v>
      </c>
      <c r="H185" t="str">
        <f>IFERROR(VLOOKUP(C185, Employees!A:I, 3, FALSE), "Not Found")</f>
        <v>Marketing</v>
      </c>
      <c r="I185" t="str">
        <f>IFERROR(VLOOKUP(C185,Employees!A:I, 4, FALSE), "NOT FOUND")</f>
        <v>Manager</v>
      </c>
    </row>
    <row r="186" spans="1:9" x14ac:dyDescent="0.35">
      <c r="A186" t="s">
        <v>640</v>
      </c>
      <c r="B186" t="s">
        <v>641</v>
      </c>
      <c r="C186" t="s">
        <v>242</v>
      </c>
      <c r="D186" t="s">
        <v>348</v>
      </c>
      <c r="E186">
        <v>5</v>
      </c>
      <c r="F186">
        <v>999</v>
      </c>
      <c r="G186" t="str">
        <f>IFERROR(VLOOKUP(C186, Employees!A:I, 2, FALSE), "Not Found")</f>
        <v>Sarah Miller</v>
      </c>
      <c r="H186" t="str">
        <f>IFERROR(VLOOKUP(C186, Employees!A:I, 3, FALSE), "Not Found")</f>
        <v>Sales</v>
      </c>
      <c r="I186" t="str">
        <f>IFERROR(VLOOKUP(C186,Employees!A:I, 4, FALSE), "NOT FOUND")</f>
        <v>Coordinator</v>
      </c>
    </row>
    <row r="187" spans="1:9" x14ac:dyDescent="0.35">
      <c r="A187" t="s">
        <v>642</v>
      </c>
      <c r="B187" t="s">
        <v>643</v>
      </c>
      <c r="C187" t="s">
        <v>31</v>
      </c>
      <c r="D187" t="s">
        <v>401</v>
      </c>
      <c r="E187">
        <v>7</v>
      </c>
      <c r="F187">
        <v>999</v>
      </c>
      <c r="G187" t="str">
        <f>IFERROR(VLOOKUP(C187, Employees!A:I, 2, FALSE), "Not Found")</f>
        <v>John Williams</v>
      </c>
      <c r="H187" t="str">
        <f>IFERROR(VLOOKUP(C187, Employees!A:I, 3, FALSE), "Not Found")</f>
        <v>Operations</v>
      </c>
      <c r="I187" t="str">
        <f>IFERROR(VLOOKUP(C187,Employees!A:I, 4, FALSE), "NOT FOUND")</f>
        <v>Coordinator</v>
      </c>
    </row>
    <row r="188" spans="1:9" x14ac:dyDescent="0.35">
      <c r="A188" t="s">
        <v>644</v>
      </c>
      <c r="B188" t="s">
        <v>639</v>
      </c>
      <c r="C188" t="s">
        <v>172</v>
      </c>
      <c r="D188" t="s">
        <v>351</v>
      </c>
      <c r="E188">
        <v>2</v>
      </c>
      <c r="F188">
        <v>299</v>
      </c>
      <c r="G188" t="str">
        <f>IFERROR(VLOOKUP(C188, Employees!A:I, 2, FALSE), "Not Found")</f>
        <v>John Garcia</v>
      </c>
      <c r="H188" t="str">
        <f>IFERROR(VLOOKUP(C188, Employees!A:I, 3, FALSE), "Not Found")</f>
        <v>Sales</v>
      </c>
      <c r="I188" t="str">
        <f>IFERROR(VLOOKUP(C188,Employees!A:I, 4, FALSE), "NOT FOUND")</f>
        <v>Analyst</v>
      </c>
    </row>
    <row r="189" spans="1:9" x14ac:dyDescent="0.35">
      <c r="A189" t="s">
        <v>645</v>
      </c>
      <c r="B189" t="s">
        <v>540</v>
      </c>
      <c r="C189" t="s">
        <v>205</v>
      </c>
      <c r="D189" t="s">
        <v>365</v>
      </c>
      <c r="E189">
        <v>2</v>
      </c>
      <c r="F189">
        <v>499</v>
      </c>
      <c r="G189" t="str">
        <f>IFERROR(VLOOKUP(C189, Employees!A:I, 2, FALSE), "Not Found")</f>
        <v>Sarah Williams</v>
      </c>
      <c r="H189" t="str">
        <f>IFERROR(VLOOKUP(C189, Employees!A:I, 3, FALSE), "Not Found")</f>
        <v>IT</v>
      </c>
      <c r="I189" t="str">
        <f>IFERROR(VLOOKUP(C189,Employees!A:I, 4, FALSE), "NOT FOUND")</f>
        <v>Analyst</v>
      </c>
    </row>
    <row r="190" spans="1:9" x14ac:dyDescent="0.35">
      <c r="A190" t="s">
        <v>646</v>
      </c>
      <c r="B190" t="s">
        <v>647</v>
      </c>
      <c r="C190" t="s">
        <v>210</v>
      </c>
      <c r="D190" t="s">
        <v>340</v>
      </c>
      <c r="E190">
        <v>10</v>
      </c>
      <c r="F190">
        <v>1299</v>
      </c>
      <c r="G190" t="str">
        <f>IFERROR(VLOOKUP(C190, Employees!A:I, 2, FALSE), "Not Found")</f>
        <v>Jessica Brown</v>
      </c>
      <c r="H190" t="str">
        <f>IFERROR(VLOOKUP(C190, Employees!A:I, 3, FALSE), "Not Found")</f>
        <v>Operations</v>
      </c>
      <c r="I190" t="str">
        <f>IFERROR(VLOOKUP(C190,Employees!A:I, 4, FALSE), "NOT FOUND")</f>
        <v>Specialist</v>
      </c>
    </row>
    <row r="191" spans="1:9" x14ac:dyDescent="0.35">
      <c r="A191" t="s">
        <v>648</v>
      </c>
      <c r="B191" t="s">
        <v>649</v>
      </c>
      <c r="C191" t="s">
        <v>140</v>
      </c>
      <c r="D191" t="s">
        <v>322</v>
      </c>
      <c r="E191">
        <v>9</v>
      </c>
      <c r="F191">
        <v>799</v>
      </c>
      <c r="G191" t="str">
        <f>IFERROR(VLOOKUP(C191, Employees!A:I, 2, FALSE), "Not Found")</f>
        <v>Emily Davis</v>
      </c>
      <c r="H191" t="str">
        <f>IFERROR(VLOOKUP(C191, Employees!A:I, 3, FALSE), "Not Found")</f>
        <v>HR</v>
      </c>
      <c r="I191" t="str">
        <f>IFERROR(VLOOKUP(C191,Employees!A:I, 4, FALSE), "NOT FOUND")</f>
        <v>Manager</v>
      </c>
    </row>
    <row r="192" spans="1:9" x14ac:dyDescent="0.35">
      <c r="A192" t="s">
        <v>650</v>
      </c>
      <c r="B192" t="s">
        <v>509</v>
      </c>
      <c r="C192" t="s">
        <v>177</v>
      </c>
      <c r="D192" t="s">
        <v>322</v>
      </c>
      <c r="E192">
        <v>7</v>
      </c>
      <c r="F192">
        <v>299</v>
      </c>
      <c r="G192" t="str">
        <f>IFERROR(VLOOKUP(C192, Employees!A:I, 2, FALSE), "Not Found")</f>
        <v>Michael Smith</v>
      </c>
      <c r="H192" t="str">
        <f>IFERROR(VLOOKUP(C192, Employees!A:I, 3, FALSE), "Not Found")</f>
        <v>Finance</v>
      </c>
      <c r="I192" t="str">
        <f>IFERROR(VLOOKUP(C192,Employees!A:I, 4, FALSE), "NOT FOUND")</f>
        <v>Analyst</v>
      </c>
    </row>
    <row r="193" spans="1:9" x14ac:dyDescent="0.35">
      <c r="A193" t="s">
        <v>651</v>
      </c>
      <c r="B193" t="s">
        <v>405</v>
      </c>
      <c r="C193" t="s">
        <v>219</v>
      </c>
      <c r="D193" t="s">
        <v>340</v>
      </c>
      <c r="E193">
        <v>9</v>
      </c>
      <c r="F193">
        <v>1499</v>
      </c>
      <c r="G193" t="str">
        <f>IFERROR(VLOOKUP(C193, Employees!A:I, 2, FALSE), "Not Found")</f>
        <v>David Williams</v>
      </c>
      <c r="H193" t="str">
        <f>IFERROR(VLOOKUP(C193, Employees!A:I, 3, FALSE), "Not Found")</f>
        <v>Operations</v>
      </c>
      <c r="I193" t="str">
        <f>IFERROR(VLOOKUP(C193,Employees!A:I, 4, FALSE), "NOT FOUND")</f>
        <v>Coordinator</v>
      </c>
    </row>
    <row r="194" spans="1:9" x14ac:dyDescent="0.35">
      <c r="A194" t="s">
        <v>652</v>
      </c>
      <c r="B194" t="s">
        <v>627</v>
      </c>
      <c r="C194" t="s">
        <v>153</v>
      </c>
      <c r="D194" t="s">
        <v>351</v>
      </c>
      <c r="E194">
        <v>4</v>
      </c>
      <c r="F194">
        <v>999</v>
      </c>
      <c r="G194" t="str">
        <f>IFERROR(VLOOKUP(C194, Employees!A:I, 2, FALSE), "Not Found")</f>
        <v>David Davis</v>
      </c>
      <c r="H194" t="str">
        <f>IFERROR(VLOOKUP(C194, Employees!A:I, 3, FALSE), "Not Found")</f>
        <v>Marketing</v>
      </c>
      <c r="I194" t="str">
        <f>IFERROR(VLOOKUP(C194,Employees!A:I, 4, FALSE), "NOT FOUND")</f>
        <v>Analyst</v>
      </c>
    </row>
    <row r="195" spans="1:9" x14ac:dyDescent="0.35">
      <c r="A195" t="s">
        <v>653</v>
      </c>
      <c r="B195" t="s">
        <v>654</v>
      </c>
      <c r="C195" t="s">
        <v>163</v>
      </c>
      <c r="D195" t="s">
        <v>299</v>
      </c>
      <c r="E195">
        <v>7</v>
      </c>
      <c r="F195">
        <v>1499</v>
      </c>
      <c r="G195" t="str">
        <f>IFERROR(VLOOKUP(C195, Employees!A:I, 2, FALSE), "Not Found")</f>
        <v>John Williams</v>
      </c>
      <c r="H195" t="str">
        <f>IFERROR(VLOOKUP(C195, Employees!A:I, 3, FALSE), "Not Found")</f>
        <v>HR</v>
      </c>
      <c r="I195" t="str">
        <f>IFERROR(VLOOKUP(C195,Employees!A:I, 4, FALSE), "NOT FOUND")</f>
        <v>Analyst</v>
      </c>
    </row>
    <row r="196" spans="1:9" x14ac:dyDescent="0.35">
      <c r="A196" t="s">
        <v>655</v>
      </c>
      <c r="B196" t="s">
        <v>656</v>
      </c>
      <c r="C196" t="s">
        <v>123</v>
      </c>
      <c r="D196" t="s">
        <v>302</v>
      </c>
      <c r="E196">
        <v>6</v>
      </c>
      <c r="F196">
        <v>1499</v>
      </c>
      <c r="G196" t="str">
        <f>IFERROR(VLOOKUP(C196, Employees!A:I, 2, FALSE), "Not Found")</f>
        <v>David Miller</v>
      </c>
      <c r="H196" t="str">
        <f>IFERROR(VLOOKUP(C196, Employees!A:I, 3, FALSE), "Not Found")</f>
        <v>Marketing</v>
      </c>
      <c r="I196" t="str">
        <f>IFERROR(VLOOKUP(C196,Employees!A:I, 4, FALSE), "NOT FOUND")</f>
        <v>Director</v>
      </c>
    </row>
    <row r="197" spans="1:9" x14ac:dyDescent="0.35">
      <c r="A197" t="s">
        <v>657</v>
      </c>
      <c r="B197" t="s">
        <v>301</v>
      </c>
      <c r="C197" t="s">
        <v>136</v>
      </c>
      <c r="D197" t="s">
        <v>365</v>
      </c>
      <c r="E197">
        <v>8</v>
      </c>
      <c r="F197">
        <v>299</v>
      </c>
      <c r="G197" t="str">
        <f>IFERROR(VLOOKUP(C197, Employees!A:I, 2, FALSE), "Not Found")</f>
        <v>Sarah Brown</v>
      </c>
      <c r="H197" t="str">
        <f>IFERROR(VLOOKUP(C197, Employees!A:I, 3, FALSE), "Not Found")</f>
        <v>IT</v>
      </c>
      <c r="I197" t="str">
        <f>IFERROR(VLOOKUP(C197,Employees!A:I, 4, FALSE), "NOT FOUND")</f>
        <v>Coordinator</v>
      </c>
    </row>
    <row r="198" spans="1:9" x14ac:dyDescent="0.35">
      <c r="A198" t="s">
        <v>658</v>
      </c>
      <c r="B198" t="s">
        <v>622</v>
      </c>
      <c r="C198" t="s">
        <v>44</v>
      </c>
      <c r="D198" t="s">
        <v>327</v>
      </c>
      <c r="E198">
        <v>7</v>
      </c>
      <c r="F198">
        <v>299</v>
      </c>
      <c r="G198" t="str">
        <f>IFERROR(VLOOKUP(C198, Employees!A:I, 2, FALSE), "Not Found")</f>
        <v>Jennifer Johnson</v>
      </c>
      <c r="H198" t="str">
        <f>IFERROR(VLOOKUP(C198, Employees!A:I, 3, FALSE), "Not Found")</f>
        <v>HR</v>
      </c>
      <c r="I198" t="str">
        <f>IFERROR(VLOOKUP(C198,Employees!A:I, 4, FALSE), "NOT FOUND")</f>
        <v>Analyst</v>
      </c>
    </row>
    <row r="199" spans="1:9" x14ac:dyDescent="0.35">
      <c r="A199" t="s">
        <v>659</v>
      </c>
      <c r="B199" t="s">
        <v>604</v>
      </c>
      <c r="C199" t="s">
        <v>61</v>
      </c>
      <c r="D199" t="s">
        <v>354</v>
      </c>
      <c r="E199">
        <v>1</v>
      </c>
      <c r="F199">
        <v>1299</v>
      </c>
      <c r="G199" t="str">
        <f>IFERROR(VLOOKUP(C199, Employees!A:I, 2, FALSE), "Not Found")</f>
        <v>Lisa Brown</v>
      </c>
      <c r="H199" t="str">
        <f>IFERROR(VLOOKUP(C199, Employees!A:I, 3, FALSE), "Not Found")</f>
        <v>Operations</v>
      </c>
      <c r="I199" t="str">
        <f>IFERROR(VLOOKUP(C199,Employees!A:I, 4, FALSE), "NOT FOUND")</f>
        <v>Specialist</v>
      </c>
    </row>
    <row r="200" spans="1:9" x14ac:dyDescent="0.35">
      <c r="A200" t="s">
        <v>660</v>
      </c>
      <c r="B200" t="s">
        <v>606</v>
      </c>
      <c r="C200" t="s">
        <v>192</v>
      </c>
      <c r="D200" t="s">
        <v>296</v>
      </c>
      <c r="E200">
        <v>2</v>
      </c>
      <c r="F200">
        <v>999</v>
      </c>
      <c r="G200" t="str">
        <f>IFERROR(VLOOKUP(C200, Employees!A:I, 2, FALSE), "Not Found")</f>
        <v>David Davis</v>
      </c>
      <c r="H200" t="str">
        <f>IFERROR(VLOOKUP(C200, Employees!A:I, 3, FALSE), "Not Found")</f>
        <v>IT</v>
      </c>
      <c r="I200" t="str">
        <f>IFERROR(VLOOKUP(C200,Employees!A:I, 4, FALSE), "NOT FOUND")</f>
        <v>Analyst</v>
      </c>
    </row>
    <row r="201" spans="1:9" x14ac:dyDescent="0.35">
      <c r="A201" t="s">
        <v>661</v>
      </c>
      <c r="B201" t="s">
        <v>662</v>
      </c>
      <c r="C201" t="s">
        <v>223</v>
      </c>
      <c r="D201" t="s">
        <v>302</v>
      </c>
      <c r="E201">
        <v>1</v>
      </c>
      <c r="F201">
        <v>799</v>
      </c>
      <c r="G201" t="str">
        <f>IFERROR(VLOOKUP(C201, Employees!A:I, 2, FALSE), "Not Found")</f>
        <v>Sarah Johnson</v>
      </c>
      <c r="H201" t="str">
        <f>IFERROR(VLOOKUP(C201, Employees!A:I, 3, FALSE), "Not Found")</f>
        <v>Operations</v>
      </c>
      <c r="I201" t="str">
        <f>IFERROR(VLOOKUP(C201,Employees!A:I, 4, FALSE), "NOT FOUND")</f>
        <v>Manager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Product_catalog</vt:lpstr>
      <vt:lpstr>Sales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2025-10-26T03:58:12Z</dcterms:created>
  <dcterms:modified xsi:type="dcterms:W3CDTF">2025-11-13T10:36:20Z</dcterms:modified>
</cp:coreProperties>
</file>